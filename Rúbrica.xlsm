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0" codeName="{00000000-0000-0000-0000-000000000000}"/>
  <workbookPr codeName="ThisWorkbook" hidePivotFieldList="1"/>
  <mc:AlternateContent xmlns:mc="http://schemas.openxmlformats.org/markup-compatibility/2006">
    <mc:Choice Requires="x15">
      <x15ac:absPath xmlns:x15ac="http://schemas.microsoft.com/office/spreadsheetml/2010/11/ac" url="https://estudianteccr-my.sharepoint.com/personal/danny_jimenez_estudiantec_cr/Documents/TEC - Software Engineering/2025_II_Semester/Databases_I/Project_1_Blue_Flag/"/>
    </mc:Choice>
  </mc:AlternateContent>
  <xr:revisionPtr revIDLastSave="0" documentId="8_{9CC11E9C-ADE1-6741-B928-B15D8DED16A4}" xr6:coauthVersionLast="47" xr6:coauthVersionMax="47" xr10:uidLastSave="{00000000-0000-0000-0000-000000000000}"/>
  <bookViews>
    <workbookView xWindow="20" yWindow="800" windowWidth="36000" windowHeight="22580" firstSheet="1" activeTab="1" xr2:uid="{1249984F-CEE1-4923-9277-B90999F5F231}"/>
  </bookViews>
  <sheets>
    <sheet name="Tabla Pivote" sheetId="3" r:id="rId1"/>
    <sheet name="Rubrica" sheetId="1" r:id="rId2"/>
    <sheet name="Configuracion" sheetId="2" r:id="rId3"/>
  </sheets>
  <definedNames>
    <definedName name="_xleta.INDIRECT" hidden="1" xlm="1">#NAME?</definedName>
  </definedNames>
  <calcPr calcId="191028"/>
  <pivotCaches>
    <pivotCache cacheId="11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c r="D12" i="1" a="1"/>
  <c r="D10" i="1" a="1"/>
  <c r="D19" i="1" a="1"/>
  <c r="D35" i="1" a="1"/>
  <c r="D13" i="1" a="1"/>
  <c r="D22" i="1" a="1"/>
  <c r="D26" i="1" a="1"/>
  <c r="D30" i="1" a="1"/>
  <c r="D9" i="1" a="1"/>
  <c r="D37" i="1" a="1"/>
  <c r="D7" i="1" a="1"/>
  <c r="D5" i="1" a="1"/>
  <c r="D23" i="1" a="1"/>
  <c r="D18" i="1" a="1"/>
  <c r="D28" i="1" a="1"/>
  <c r="D34" i="1" a="1"/>
  <c r="D6" i="1" a="1"/>
  <c r="D29" i="1" a="1"/>
  <c r="D24" i="1" a="1"/>
  <c r="D36" i="1" a="1"/>
  <c r="D21" i="1" a="1"/>
  <c r="D32" i="1" a="1"/>
  <c r="D11" i="1" a="1"/>
  <c r="D8" i="1" a="1"/>
  <c r="D14" i="1" a="1"/>
  <c r="D16" i="1" a="1"/>
  <c r="D25" i="1" a="1"/>
  <c r="D15" i="1" a="1"/>
  <c r="D31" i="1" a="1"/>
  <c r="D27" i="1" a="1"/>
  <c r="D33" i="1" a="1"/>
  <c r="D20" i="1" a="1"/>
  <c r="D17" i="1" a="1"/>
  <c r="D12" i="1" l="1"/>
  <c r="D22" i="1"/>
  <c r="D6" i="1"/>
  <c r="D5" i="1"/>
  <c r="D31" i="1"/>
  <c r="D37" i="1"/>
  <c r="D36" i="1"/>
  <c r="D29" i="1"/>
  <c r="D34" i="1"/>
  <c r="D14" i="1"/>
  <c r="D13" i="1"/>
  <c r="D11" i="1"/>
  <c r="D25" i="1"/>
  <c r="D24" i="1"/>
  <c r="D23" i="1"/>
  <c r="D16" i="1"/>
  <c r="D28" i="1"/>
  <c r="D33" i="1"/>
  <c r="D27" i="1"/>
  <c r="D30" i="1"/>
  <c r="D32" i="1"/>
  <c r="D26" i="1"/>
  <c r="D35" i="1"/>
  <c r="D15" i="1"/>
  <c r="D17" i="1"/>
  <c r="D19" i="1"/>
  <c r="D18" i="1"/>
  <c r="D21" i="1"/>
  <c r="D20" i="1"/>
  <c r="D9" i="1"/>
  <c r="D8" i="1"/>
  <c r="D10" i="1"/>
  <c r="D7" i="1"/>
  <c r="D3"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<sst xmlns="http://schemas.openxmlformats.org/spreadsheetml/2006/main" count="260" uniqueCount="146">
  <si>
    <t>Categoría del Rubro</t>
  </si>
  <si>
    <t>Rubros</t>
  </si>
  <si>
    <t>Total(%)</t>
  </si>
  <si>
    <t>Obtenido(%)</t>
  </si>
  <si>
    <t>Documentación</t>
  </si>
  <si>
    <t>Funcionalidad</t>
  </si>
  <si>
    <t>Queries</t>
  </si>
  <si>
    <t>Total</t>
  </si>
  <si>
    <t>Categoría</t>
  </si>
  <si>
    <t>Rubro a evaluar</t>
  </si>
  <si>
    <t>Obtenido</t>
  </si>
  <si>
    <t>Excelente</t>
  </si>
  <si>
    <t>Muy Bueno</t>
  </si>
  <si>
    <t>Aceptable</t>
  </si>
  <si>
    <t>Regular</t>
  </si>
  <si>
    <t>Deficiente</t>
  </si>
  <si>
    <t>Observaciones</t>
  </si>
  <si>
    <t>Casos de Prueba</t>
  </si>
  <si>
    <r>
      <t xml:space="preserve">Presenta los 50 casos de prueba documentados con su respectivo estado (Certificado, Con Errores, Pendiente) y se puede comprobar que los estados son consistentes con el sistema. El </t>
    </r>
    <r>
      <rPr>
        <b/>
        <sz val="11"/>
        <color theme="1"/>
        <rFont val="Aptos Narrow"/>
        <family val="2"/>
        <scheme val="minor"/>
      </rPr>
      <t>90%</t>
    </r>
    <r>
      <rPr>
        <sz val="11"/>
        <color theme="1"/>
        <rFont val="Aptos Narrow"/>
        <family val="2"/>
        <scheme val="minor"/>
      </rPr>
      <t xml:space="preserve"> de los casos de prueba se relacionan con requerimientos funcionales críticos dentro del sistema y están certificados.</t>
    </r>
  </si>
  <si>
    <r>
      <t xml:space="preserve">Presenta los 50 casos de prueba documentados con su respectivo estado (Certificado, Con Errores, Pendiente) y se puede comprobar que los estados son consistentes con el sistema. El </t>
    </r>
    <r>
      <rPr>
        <b/>
        <sz val="11"/>
        <color theme="1"/>
        <rFont val="Aptos Narrow"/>
        <family val="2"/>
        <scheme val="minor"/>
      </rPr>
      <t>80%</t>
    </r>
    <r>
      <rPr>
        <sz val="11"/>
        <color theme="1"/>
        <rFont val="Aptos Narrow"/>
        <family val="2"/>
        <scheme val="minor"/>
      </rPr>
      <t xml:space="preserve"> de los casos de prueba se relacionan con requerimientos funcionales críticos dentro del sistema y están certificados.</t>
    </r>
  </si>
  <si>
    <r>
      <t xml:space="preserve">Presenta menos los 50 casos de prueba documentados con su respectivo estado (Certificado, Con Errores, Pendiente) y se puede comprobar que los estados son consistentes con el sistema. El </t>
    </r>
    <r>
      <rPr>
        <b/>
        <sz val="11"/>
        <color theme="1"/>
        <rFont val="Aptos Narrow"/>
        <family val="2"/>
        <scheme val="minor"/>
      </rPr>
      <t>70%</t>
    </r>
    <r>
      <rPr>
        <sz val="11"/>
        <color theme="1"/>
        <rFont val="Aptos Narrow"/>
        <family val="2"/>
        <scheme val="minor"/>
      </rPr>
      <t xml:space="preserve"> de los casos de prueba se relacionan con requerimientos funcionales críticos dentro del sistema y están certificados.</t>
    </r>
  </si>
  <si>
    <r>
      <t xml:space="preserve">Presenta menos de los 50 casos de prueba documentados con su respectivo estado (Certificado, Con Errores, Pendiente) y se puede comprobar que los estados son consistentes con el sistema. El </t>
    </r>
    <r>
      <rPr>
        <b/>
        <sz val="11"/>
        <color theme="1"/>
        <rFont val="Aptos Narrow"/>
        <family val="2"/>
        <scheme val="minor"/>
      </rPr>
      <t>50%</t>
    </r>
    <r>
      <rPr>
        <sz val="11"/>
        <color theme="1"/>
        <rFont val="Aptos Narrow"/>
        <family val="2"/>
        <scheme val="minor"/>
      </rPr>
      <t xml:space="preserve"> de los casos de prueba se relacionan con requerimientos funcionales críticos dentro del sistema y están certificados.</t>
    </r>
  </si>
  <si>
    <r>
      <t xml:space="preserve">No presenta los casos de prueba documentados con su respectivo estado (Certificado, Con Errores, Pendiente) o es imposible comprobar que los estados son consistentes con el sistema. Menos del </t>
    </r>
    <r>
      <rPr>
        <b/>
        <sz val="11"/>
        <color theme="1"/>
        <rFont val="Aptos Narrow"/>
        <family val="2"/>
        <scheme val="minor"/>
      </rPr>
      <t>50</t>
    </r>
    <r>
      <rPr>
        <sz val="11"/>
        <color theme="1"/>
        <rFont val="Aptos Narrow"/>
        <family val="2"/>
        <scheme val="minor"/>
      </rPr>
      <t>% de los casos de prueba se relacionan con requerimientos funcionales críticos dentro del sistema y están certificados.</t>
    </r>
  </si>
  <si>
    <t>Manual de Usuario</t>
  </si>
  <si>
    <r>
      <t xml:space="preserve">El manual de usuario presenta profesionalidad, es agradable a la vista y contiene explicación del </t>
    </r>
    <r>
      <rPr>
        <b/>
        <sz val="11"/>
        <color theme="1"/>
        <rFont val="Aptos Narrow"/>
        <family val="2"/>
        <scheme val="minor"/>
      </rPr>
      <t>100%</t>
    </r>
    <r>
      <rPr>
        <sz val="11"/>
        <color theme="1"/>
        <rFont val="Aptos Narrow"/>
        <family val="2"/>
        <scheme val="minor"/>
      </rPr>
      <t xml:space="preserve"> del uso del sistema. Se hace uso de imagenes significativas como complemento a las explicaciones en el documento.</t>
    </r>
  </si>
  <si>
    <r>
      <t xml:space="preserve">El manual de usuario presenta profesionalidad, es agradable a la vista y contiene explicación del </t>
    </r>
    <r>
      <rPr>
        <b/>
        <sz val="11"/>
        <color theme="1"/>
        <rFont val="Aptos Narrow"/>
        <family val="2"/>
        <scheme val="minor"/>
      </rPr>
      <t>90%</t>
    </r>
    <r>
      <rPr>
        <sz val="11"/>
        <color theme="1"/>
        <rFont val="Aptos Narrow"/>
        <family val="2"/>
        <scheme val="minor"/>
      </rPr>
      <t xml:space="preserve"> del uso del sistema. Se hace uso de imagenes significativas como complemento a las explicaciones en el documento.</t>
    </r>
  </si>
  <si>
    <r>
      <t xml:space="preserve">El manual de usuario presenta </t>
    </r>
    <r>
      <rPr>
        <b/>
        <sz val="11"/>
        <color theme="1"/>
        <rFont val="Aptos Narrow"/>
        <family val="2"/>
        <scheme val="minor"/>
      </rPr>
      <t>cierto nivel</t>
    </r>
    <r>
      <rPr>
        <sz val="11"/>
        <color theme="1"/>
        <rFont val="Aptos Narrow"/>
        <family val="2"/>
        <scheme val="minor"/>
      </rPr>
      <t xml:space="preserve"> de profesionalidad, es agradable a la vista y contiene explicación del </t>
    </r>
    <r>
      <rPr>
        <b/>
        <sz val="11"/>
        <color theme="1"/>
        <rFont val="Aptos Narrow"/>
        <family val="2"/>
        <scheme val="minor"/>
      </rPr>
      <t>80%</t>
    </r>
    <r>
      <rPr>
        <sz val="11"/>
        <color theme="1"/>
        <rFont val="Aptos Narrow"/>
        <family val="2"/>
        <scheme val="minor"/>
      </rPr>
      <t xml:space="preserve"> del uso del sistema. Se hace un uso </t>
    </r>
    <r>
      <rPr>
        <b/>
        <sz val="11"/>
        <color theme="1"/>
        <rFont val="Aptos Narrow"/>
        <family val="2"/>
        <scheme val="minor"/>
      </rPr>
      <t>moderado</t>
    </r>
    <r>
      <rPr>
        <sz val="11"/>
        <color theme="1"/>
        <rFont val="Aptos Narrow"/>
        <family val="2"/>
        <scheme val="minor"/>
      </rPr>
      <t xml:space="preserve"> de imagenes significativas como complemento a las explicaciones en el documento.</t>
    </r>
  </si>
  <si>
    <r>
      <t xml:space="preserve">El manual de usuario </t>
    </r>
    <r>
      <rPr>
        <b/>
        <sz val="11"/>
        <color theme="1"/>
        <rFont val="Aptos Narrow"/>
        <family val="2"/>
        <scheme val="minor"/>
      </rPr>
      <t>no es agradable de leer o no es profesional</t>
    </r>
    <r>
      <rPr>
        <sz val="11"/>
        <color theme="1"/>
        <rFont val="Aptos Narrow"/>
        <family val="2"/>
        <scheme val="minor"/>
      </rPr>
      <t xml:space="preserve">. Contiene </t>
    </r>
    <r>
      <rPr>
        <b/>
        <sz val="11"/>
        <color theme="1"/>
        <rFont val="Aptos Narrow"/>
        <family val="2"/>
        <scheme val="minor"/>
      </rPr>
      <t>menos del 80%</t>
    </r>
    <r>
      <rPr>
        <sz val="11"/>
        <color theme="1"/>
        <rFont val="Aptos Narrow"/>
        <family val="2"/>
        <scheme val="minor"/>
      </rPr>
      <t xml:space="preserve"> del uso del sistema Se hace un uso </t>
    </r>
    <r>
      <rPr>
        <b/>
        <sz val="11"/>
        <color theme="1"/>
        <rFont val="Aptos Narrow"/>
        <family val="2"/>
        <scheme val="minor"/>
      </rPr>
      <t>bajo</t>
    </r>
    <r>
      <rPr>
        <sz val="11"/>
        <color theme="1"/>
        <rFont val="Aptos Narrow"/>
        <family val="2"/>
        <scheme val="minor"/>
      </rPr>
      <t xml:space="preserve"> de imagenes significativas como complemento a las explicaciones en el documento.</t>
    </r>
  </si>
  <si>
    <t>No hay entregable.</t>
  </si>
  <si>
    <t>Diccionario de Datos</t>
  </si>
  <si>
    <t>Se posee el diccionario de datos con un 100% de los datos solicitados en la base de datos utilizada.</t>
  </si>
  <si>
    <r>
      <t xml:space="preserve">Se posee el diccionario de datos con al menos un </t>
    </r>
    <r>
      <rPr>
        <b/>
        <sz val="11"/>
        <color theme="1"/>
        <rFont val="Aptos Narrow"/>
        <family val="2"/>
        <scheme val="minor"/>
      </rPr>
      <t>90</t>
    </r>
    <r>
      <rPr>
        <sz val="11"/>
        <color theme="1"/>
        <rFont val="Aptos Narrow"/>
        <family val="2"/>
        <scheme val="minor"/>
      </rPr>
      <t>% de los datos solicitados en la base de datos utilizada.</t>
    </r>
  </si>
  <si>
    <r>
      <t xml:space="preserve">Se posee el diccionario de datos con al menos un </t>
    </r>
    <r>
      <rPr>
        <b/>
        <sz val="11"/>
        <color theme="1"/>
        <rFont val="Aptos Narrow"/>
        <family val="2"/>
        <scheme val="minor"/>
      </rPr>
      <t>80</t>
    </r>
    <r>
      <rPr>
        <sz val="11"/>
        <color theme="1"/>
        <rFont val="Aptos Narrow"/>
        <family val="2"/>
        <scheme val="minor"/>
      </rPr>
      <t>% de los datos solicitados en la base de datos utilizada.</t>
    </r>
  </si>
  <si>
    <r>
      <t xml:space="preserve">Se posee el diccionario de datos con </t>
    </r>
    <r>
      <rPr>
        <b/>
        <sz val="11"/>
        <color theme="1"/>
        <rFont val="Aptos Narrow"/>
        <family val="2"/>
        <scheme val="minor"/>
      </rPr>
      <t>menos del 80</t>
    </r>
    <r>
      <rPr>
        <sz val="11"/>
        <color theme="1"/>
        <rFont val="Aptos Narrow"/>
        <family val="2"/>
        <scheme val="minor"/>
      </rPr>
      <t>% de los datos solicitados en la base de datos utilizada.</t>
    </r>
  </si>
  <si>
    <t>Código Limpio
Clean Code</t>
  </si>
  <si>
    <r>
      <t xml:space="preserve">Se aplican </t>
    </r>
    <r>
      <rPr>
        <b/>
        <sz val="11"/>
        <color theme="1"/>
        <rFont val="Aptos Narrow"/>
        <family val="2"/>
        <scheme val="minor"/>
      </rPr>
      <t>correctamente</t>
    </r>
    <r>
      <rPr>
        <sz val="11"/>
        <color theme="1"/>
        <rFont val="Aptos Narrow"/>
        <family val="2"/>
        <scheme val="minor"/>
      </rPr>
      <t xml:space="preserve"> principios de código limpio del libro Clean Code.</t>
    </r>
  </si>
  <si>
    <r>
      <t xml:space="preserve">Se aplican principios de código limpio pero requiere de </t>
    </r>
    <r>
      <rPr>
        <b/>
        <sz val="11"/>
        <color theme="1"/>
        <rFont val="Aptos Narrow"/>
        <family val="2"/>
        <scheme val="minor"/>
      </rPr>
      <t>mejoras leves</t>
    </r>
    <r>
      <rPr>
        <sz val="11"/>
        <color theme="1"/>
        <rFont val="Aptos Narrow"/>
        <family val="2"/>
        <scheme val="minor"/>
      </rPr>
      <t>.</t>
    </r>
  </si>
  <si>
    <r>
      <t xml:space="preserve">Se aplican principios de código limpio pero requiere de </t>
    </r>
    <r>
      <rPr>
        <b/>
        <sz val="11"/>
        <color theme="1"/>
        <rFont val="Aptos Narrow"/>
        <family val="2"/>
        <scheme val="minor"/>
      </rPr>
      <t>mejoras</t>
    </r>
    <r>
      <rPr>
        <sz val="11"/>
        <color theme="1"/>
        <rFont val="Aptos Narrow"/>
        <family val="2"/>
        <scheme val="minor"/>
      </rPr>
      <t>.</t>
    </r>
  </si>
  <si>
    <r>
      <rPr>
        <b/>
        <sz val="11"/>
        <color theme="1"/>
        <rFont val="Aptos Narrow"/>
        <family val="2"/>
        <scheme val="minor"/>
      </rPr>
      <t>No se aplican</t>
    </r>
    <r>
      <rPr>
        <sz val="11"/>
        <color theme="1"/>
        <rFont val="Aptos Narrow"/>
        <family val="2"/>
        <scheme val="minor"/>
      </rPr>
      <t xml:space="preserve"> principios de código limpio o el código </t>
    </r>
    <r>
      <rPr>
        <b/>
        <sz val="11"/>
        <color theme="1"/>
        <rFont val="Aptos Narrow"/>
        <family val="2"/>
        <scheme val="minor"/>
      </rPr>
      <t>no esta documentado</t>
    </r>
  </si>
  <si>
    <t>Datos Utilizados</t>
  </si>
  <si>
    <r>
      <t xml:space="preserve">Los datos utilizados son </t>
    </r>
    <r>
      <rPr>
        <b/>
        <sz val="11"/>
        <color theme="1"/>
        <rFont val="Aptos Narrow"/>
        <family val="2"/>
        <scheme val="minor"/>
      </rPr>
      <t>consistentes</t>
    </r>
    <r>
      <rPr>
        <sz val="11"/>
        <color theme="1"/>
        <rFont val="Aptos Narrow"/>
        <family val="2"/>
        <scheme val="minor"/>
      </rPr>
      <t xml:space="preserve"> con un sistema real y hay una </t>
    </r>
    <r>
      <rPr>
        <b/>
        <sz val="11"/>
        <color theme="1"/>
        <rFont val="Aptos Narrow"/>
        <family val="2"/>
        <scheme val="minor"/>
      </rPr>
      <t>cantidad significativa</t>
    </r>
    <r>
      <rPr>
        <sz val="11"/>
        <color theme="1"/>
        <rFont val="Aptos Narrow"/>
        <family val="2"/>
        <scheme val="minor"/>
      </rPr>
      <t xml:space="preserve"> de datos de prueba para verificar las funcionalidades del sistema (Pueden ser datos falsos pero no datos basura).</t>
    </r>
  </si>
  <si>
    <r>
      <t xml:space="preserve">Los datos utilizados son </t>
    </r>
    <r>
      <rPr>
        <b/>
        <sz val="11"/>
        <color theme="1"/>
        <rFont val="Aptos Narrow"/>
        <family val="2"/>
        <scheme val="minor"/>
      </rPr>
      <t>consistentes</t>
    </r>
    <r>
      <rPr>
        <sz val="11"/>
        <color theme="1"/>
        <rFont val="Aptos Narrow"/>
        <family val="2"/>
        <scheme val="minor"/>
      </rPr>
      <t xml:space="preserve"> con un sistema real y hay una cantidad significativa de datos de prueba para verificar </t>
    </r>
    <r>
      <rPr>
        <b/>
        <sz val="11"/>
        <color theme="1"/>
        <rFont val="Aptos Narrow"/>
        <family val="2"/>
        <scheme val="minor"/>
      </rPr>
      <t>la mayoría</t>
    </r>
    <r>
      <rPr>
        <sz val="11"/>
        <color theme="1"/>
        <rFont val="Aptos Narrow"/>
        <family val="2"/>
        <scheme val="minor"/>
      </rPr>
      <t xml:space="preserve"> de las funcionalidades del sistema (Pueden ser datos falsos pero no datos basura).</t>
    </r>
  </si>
  <si>
    <r>
      <t xml:space="preserve">Los datos utilizados son </t>
    </r>
    <r>
      <rPr>
        <b/>
        <sz val="11"/>
        <color theme="1"/>
        <rFont val="Aptos Narrow"/>
        <family val="2"/>
        <scheme val="minor"/>
      </rPr>
      <t>consistentes</t>
    </r>
    <r>
      <rPr>
        <sz val="11"/>
        <color theme="1"/>
        <rFont val="Aptos Narrow"/>
        <family val="2"/>
        <scheme val="minor"/>
      </rPr>
      <t xml:space="preserve"> con un sistema real pero no hay una cantidad significativa de datos de prueba para verificar las funcionalidades del sistema (Pueden ser datos falsos pero no datos basura).</t>
    </r>
  </si>
  <si>
    <r>
      <t xml:space="preserve">Los datos utilizados son </t>
    </r>
    <r>
      <rPr>
        <b/>
        <sz val="11"/>
        <color theme="1"/>
        <rFont val="Aptos Narrow"/>
        <family val="2"/>
        <scheme val="minor"/>
      </rPr>
      <t>inconsistentes</t>
    </r>
    <r>
      <rPr>
        <sz val="11"/>
        <color theme="1"/>
        <rFont val="Aptos Narrow"/>
        <family val="2"/>
        <scheme val="minor"/>
      </rPr>
      <t xml:space="preserve"> con un sistema real o no hay una cantidad significativa de datos de prueba para verificar las funcionalidades del sistema (Pueden ser datos falsos pero no datos basura).</t>
    </r>
  </si>
  <si>
    <t>No hay datos de prueba o hay datos basura por lo que no se pueden ver las funcionalidades del sistema.</t>
  </si>
  <si>
    <t>Ortografía</t>
  </si>
  <si>
    <t>No hay faltas de ortografía en la documentación o el sistema.</t>
  </si>
  <si>
    <t>Hay 1 o 2 faltas de ortografía en la documentación o el sistema.</t>
  </si>
  <si>
    <t>Hay 3 o 4 faltas de ortografía en la documentación o el sistema.</t>
  </si>
  <si>
    <t>Hay 5 o más faltas de ortografía en la documentación o el sistema.</t>
  </si>
  <si>
    <t>Registro de Usuarios</t>
  </si>
  <si>
    <r>
      <t xml:space="preserve">Se pueden registrar </t>
    </r>
    <r>
      <rPr>
        <b/>
        <sz val="11"/>
        <color theme="1"/>
        <rFont val="Aptos Narrow"/>
        <family val="2"/>
        <scheme val="minor"/>
      </rPr>
      <t>todos</t>
    </r>
    <r>
      <rPr>
        <sz val="11"/>
        <color theme="1"/>
        <rFont val="Aptos Narrow"/>
        <family val="2"/>
        <scheme val="minor"/>
      </rPr>
      <t xml:space="preserve"> los tipos de usuarios distintos. Los datos </t>
    </r>
    <r>
      <rPr>
        <b/>
        <sz val="11"/>
        <color theme="1"/>
        <rFont val="Aptos Narrow"/>
        <family val="2"/>
        <scheme val="minor"/>
      </rPr>
      <t>se guardan</t>
    </r>
    <r>
      <rPr>
        <sz val="11"/>
        <color theme="1"/>
        <rFont val="Aptos Narrow"/>
        <family val="2"/>
        <scheme val="minor"/>
      </rPr>
      <t xml:space="preserve"> en la base de datos y </t>
    </r>
    <r>
      <rPr>
        <b/>
        <sz val="11"/>
        <color theme="1"/>
        <rFont val="Aptos Narrow"/>
        <family val="2"/>
        <scheme val="minor"/>
      </rPr>
      <t>se puede iniciar sesión</t>
    </r>
    <r>
      <rPr>
        <sz val="11"/>
        <color theme="1"/>
        <rFont val="Aptos Narrow"/>
        <family val="2"/>
        <scheme val="minor"/>
      </rPr>
      <t xml:space="preserve"> con los mismos.</t>
    </r>
  </si>
  <si>
    <r>
      <t xml:space="preserve">Se pueden registrar </t>
    </r>
    <r>
      <rPr>
        <b/>
        <sz val="11"/>
        <color theme="1"/>
        <rFont val="Aptos Narrow"/>
        <family val="2"/>
        <scheme val="minor"/>
      </rPr>
      <t>la mayoría de</t>
    </r>
    <r>
      <rPr>
        <sz val="11"/>
        <color theme="1"/>
        <rFont val="Aptos Narrow"/>
        <family val="2"/>
        <scheme val="minor"/>
      </rPr>
      <t xml:space="preserve"> los tipos de usuarios distintos. Los datos </t>
    </r>
    <r>
      <rPr>
        <b/>
        <sz val="11"/>
        <color theme="1"/>
        <rFont val="Aptos Narrow"/>
        <family val="2"/>
        <scheme val="minor"/>
      </rPr>
      <t>se guardan</t>
    </r>
    <r>
      <rPr>
        <sz val="11"/>
        <color theme="1"/>
        <rFont val="Aptos Narrow"/>
        <family val="2"/>
        <scheme val="minor"/>
      </rPr>
      <t xml:space="preserve"> en la base de datos y </t>
    </r>
    <r>
      <rPr>
        <b/>
        <sz val="11"/>
        <color theme="1"/>
        <rFont val="Aptos Narrow"/>
        <family val="2"/>
        <scheme val="minor"/>
      </rPr>
      <t>se puede iniciar sesión</t>
    </r>
    <r>
      <rPr>
        <sz val="11"/>
        <color theme="1"/>
        <rFont val="Aptos Narrow"/>
        <family val="2"/>
        <scheme val="minor"/>
      </rPr>
      <t xml:space="preserve"> con los mismos pero requiere mejoras leves.</t>
    </r>
  </si>
  <si>
    <r>
      <t xml:space="preserve">Se pueden registrar </t>
    </r>
    <r>
      <rPr>
        <b/>
        <sz val="11"/>
        <color theme="1"/>
        <rFont val="Aptos Narrow"/>
        <family val="2"/>
        <scheme val="minor"/>
      </rPr>
      <t>la mayoría de</t>
    </r>
    <r>
      <rPr>
        <sz val="11"/>
        <color theme="1"/>
        <rFont val="Aptos Narrow"/>
        <family val="2"/>
        <scheme val="minor"/>
      </rPr>
      <t xml:space="preserve"> los tipos de usuarios distintos. Los datos </t>
    </r>
    <r>
      <rPr>
        <b/>
        <sz val="11"/>
        <color theme="1"/>
        <rFont val="Aptos Narrow"/>
        <family val="2"/>
        <scheme val="minor"/>
      </rPr>
      <t>se guardan</t>
    </r>
    <r>
      <rPr>
        <sz val="11"/>
        <color theme="1"/>
        <rFont val="Aptos Narrow"/>
        <family val="2"/>
        <scheme val="minor"/>
      </rPr>
      <t xml:space="preserve"> en la base de datos y </t>
    </r>
    <r>
      <rPr>
        <b/>
        <sz val="11"/>
        <color theme="1"/>
        <rFont val="Aptos Narrow"/>
        <family val="2"/>
        <scheme val="minor"/>
      </rPr>
      <t>se puede iniciar sesión</t>
    </r>
    <r>
      <rPr>
        <sz val="11"/>
        <color theme="1"/>
        <rFont val="Aptos Narrow"/>
        <family val="2"/>
        <scheme val="minor"/>
      </rPr>
      <t xml:space="preserve"> con los mismos pero requiere mejoras.</t>
    </r>
  </si>
  <si>
    <r>
      <t xml:space="preserve">No se puede registrar </t>
    </r>
    <r>
      <rPr>
        <b/>
        <sz val="11"/>
        <color theme="1"/>
        <rFont val="Aptos Narrow"/>
        <family val="2"/>
        <scheme val="minor"/>
      </rPr>
      <t>la mayoría de</t>
    </r>
    <r>
      <rPr>
        <sz val="11"/>
        <color theme="1"/>
        <rFont val="Aptos Narrow"/>
        <family val="2"/>
        <scheme val="minor"/>
      </rPr>
      <t xml:space="preserve"> los tipos de usuarios distintos. Los datos </t>
    </r>
    <r>
      <rPr>
        <b/>
        <sz val="11"/>
        <color theme="1"/>
        <rFont val="Aptos Narrow"/>
        <family val="2"/>
        <scheme val="minor"/>
      </rPr>
      <t>no se guardan</t>
    </r>
    <r>
      <rPr>
        <sz val="11"/>
        <color theme="1"/>
        <rFont val="Aptos Narrow"/>
        <family val="2"/>
        <scheme val="minor"/>
      </rPr>
      <t xml:space="preserve"> en la base de datos o </t>
    </r>
    <r>
      <rPr>
        <b/>
        <sz val="11"/>
        <color theme="1"/>
        <rFont val="Aptos Narrow"/>
        <family val="2"/>
        <scheme val="minor"/>
      </rPr>
      <t>no se puede iniciar sesión</t>
    </r>
    <r>
      <rPr>
        <sz val="11"/>
        <color theme="1"/>
        <rFont val="Aptos Narrow"/>
        <family val="2"/>
        <scheme val="minor"/>
      </rPr>
      <t xml:space="preserve"> con los mismos.</t>
    </r>
  </si>
  <si>
    <t>No se pueden registrar usuarios en el sistema.</t>
  </si>
  <si>
    <t>Seguridad - Inicio de Sesión</t>
  </si>
  <si>
    <t>Se inicia sesión correctamente utilizando una combinación de nombre de usuario y contraseña. Cuando los datos son incorrectos se muestra un error correspondiente. Las contraseñas son guardadas con encriptación según un algoritmo de la industria (RSA, DSA, R5,etc.). Posee reglas de validación tales como tener combinaciones de letras mayusculas, minusculas, números y caracteres.</t>
  </si>
  <si>
    <r>
      <t xml:space="preserve">Se puede iniciar sesión correctamente, pero necesita </t>
    </r>
    <r>
      <rPr>
        <b/>
        <sz val="11"/>
        <color theme="1"/>
        <rFont val="Aptos Narrow"/>
        <family val="2"/>
        <scheme val="minor"/>
      </rPr>
      <t>mejoras leves</t>
    </r>
    <r>
      <rPr>
        <sz val="11"/>
        <color theme="1"/>
        <rFont val="Aptos Narrow"/>
        <family val="2"/>
        <scheme val="minor"/>
      </rPr>
      <t>.</t>
    </r>
  </si>
  <si>
    <r>
      <t xml:space="preserve">Se puede iniciar sesión correctamente, pero necesita </t>
    </r>
    <r>
      <rPr>
        <b/>
        <sz val="11"/>
        <color theme="1"/>
        <rFont val="Aptos Narrow"/>
        <family val="2"/>
        <scheme val="minor"/>
      </rPr>
      <t>mejoras</t>
    </r>
    <r>
      <rPr>
        <sz val="11"/>
        <color theme="1"/>
        <rFont val="Aptos Narrow"/>
        <family val="2"/>
        <scheme val="minor"/>
      </rPr>
      <t>.</t>
    </r>
  </si>
  <si>
    <r>
      <t>Al iniciar sesión se</t>
    </r>
    <r>
      <rPr>
        <b/>
        <sz val="11"/>
        <color theme="1"/>
        <rFont val="Aptos Narrow"/>
        <family val="2"/>
        <scheme val="minor"/>
      </rPr>
      <t xml:space="preserve"> presentan errores</t>
    </r>
    <r>
      <rPr>
        <sz val="11"/>
        <color theme="1"/>
        <rFont val="Aptos Narrow"/>
        <family val="2"/>
        <scheme val="minor"/>
      </rPr>
      <t xml:space="preserve">, o </t>
    </r>
    <r>
      <rPr>
        <b/>
        <sz val="11"/>
        <color theme="1"/>
        <rFont val="Aptos Narrow"/>
        <family val="2"/>
        <scheme val="minor"/>
      </rPr>
      <t>la contraseña no se encuentra encriptada</t>
    </r>
    <r>
      <rPr>
        <sz val="11"/>
        <color theme="1"/>
        <rFont val="Aptos Narrow"/>
        <family val="2"/>
        <scheme val="minor"/>
      </rPr>
      <t xml:space="preserve"> en la base de datos. Las contraseñas no poseen reglas de validación o límites de seguridad.</t>
    </r>
  </si>
  <si>
    <t>No se puede iniciar sesión correctamente</t>
  </si>
  <si>
    <t>Registro de Datos</t>
  </si>
  <si>
    <t>Los datos necesarios para el sistema se ingresan correctamente a la base de datos y se mantienen estables mientras se hacen más registros. Cuando se actualiza un dato este lo hace de manera correcta sin generar errores o inconsistencias. Los parámetros necesarios por cada entidad son debidamente almacenados en la base de datos</t>
  </si>
  <si>
    <t>Los datos se ingresan correctamente pero existen errores leves en la base de datos que no terminan de afectar considerablemente el sistema. Puede presentar lectura de datos inconsistentes. Al actualizar los datos, puede haber lecturas de datos inconsistentes con los datos pedidos.</t>
  </si>
  <si>
    <t>Presenta errores al ingresar cualquier información a la base de datos. Se presentan errores de integridad en relaciones de los datos. No actualiza correctamente las tablas a la hora de querer modificar algún dato.</t>
  </si>
  <si>
    <t>Aspecto Visual</t>
  </si>
  <si>
    <t>La aplicación es sobresalientemente agradable a la vista y cumple un 100% con la usabilidad. Los campos tienen etiquetas que los identifican y formatos para saber cómo se debe ingresar la información o si un campo es requerido.</t>
  </si>
  <si>
    <t>La aplicación es agradable a la vista en un 90% de las pantallas y cumple con la usabilidad. No tiene todas las etiquetas y formatos.</t>
  </si>
  <si>
    <t>La aplicación es agradable a la vista en un 80% de las pantallas y cumple con la usabilidad. No tiene todas las etiquetas y formatos.</t>
  </si>
  <si>
    <t>La aplicación no es agradable a la vista y no cumple con la usabilidad en un 70% de las pantallas.</t>
  </si>
  <si>
    <t>La aplicación no es agradable a la vista y no cumple con la usabilidad en el 50% de sus pantallas.</t>
  </si>
  <si>
    <t>Diseño Orientado a Capas</t>
  </si>
  <si>
    <t>Aplica una separación de capaz de manera correcta, lógica y estable.</t>
  </si>
  <si>
    <t>El sistema posee un sistema de capaz, pero requiere mejoras leves.</t>
  </si>
  <si>
    <t>El sistema no posee un diseño orientado a capaz.</t>
  </si>
  <si>
    <t>Estabilidad y Manejo de Excepciones</t>
  </si>
  <si>
    <r>
      <t xml:space="preserve">El sistema es estable y robusto por lo que maneja </t>
    </r>
    <r>
      <rPr>
        <b/>
        <sz val="11"/>
        <color theme="1"/>
        <rFont val="Aptos Narrow"/>
        <family val="2"/>
        <scheme val="minor"/>
      </rPr>
      <t>correctamente</t>
    </r>
    <r>
      <rPr>
        <sz val="11"/>
        <color theme="1"/>
        <rFont val="Aptos Narrow"/>
        <family val="2"/>
        <scheme val="minor"/>
      </rPr>
      <t xml:space="preserve"> las excepciones y no falla. Se aplica correctamente el manejo de excepciones.</t>
    </r>
  </si>
  <si>
    <r>
      <t xml:space="preserve">El sistema es estable y robusto por lo que maneja las excepciones y no falla. Se aplica el manejo de excepciones pero requiere </t>
    </r>
    <r>
      <rPr>
        <b/>
        <sz val="11"/>
        <color theme="1"/>
        <rFont val="Aptos Narrow"/>
        <family val="2"/>
        <scheme val="minor"/>
      </rPr>
      <t>mejoras leves</t>
    </r>
    <r>
      <rPr>
        <sz val="11"/>
        <color theme="1"/>
        <rFont val="Aptos Narrow"/>
        <family val="2"/>
        <scheme val="minor"/>
      </rPr>
      <t>.</t>
    </r>
  </si>
  <si>
    <r>
      <t xml:space="preserve">El sistema es robusto y maneja las excepciones sin fallar, sin embargo </t>
    </r>
    <r>
      <rPr>
        <b/>
        <sz val="11"/>
        <color theme="1"/>
        <rFont val="Aptos Narrow"/>
        <family val="2"/>
        <scheme val="minor"/>
      </rPr>
      <t>posee errores o excepciones</t>
    </r>
    <r>
      <rPr>
        <sz val="11"/>
        <color theme="1"/>
        <rFont val="Aptos Narrow"/>
        <family val="2"/>
        <scheme val="minor"/>
      </rPr>
      <t xml:space="preserve"> </t>
    </r>
    <r>
      <rPr>
        <b/>
        <sz val="11"/>
        <color theme="1"/>
        <rFont val="Aptos Narrow"/>
        <family val="2"/>
        <scheme val="minor"/>
      </rPr>
      <t>inesperadas</t>
    </r>
    <r>
      <rPr>
        <sz val="11"/>
        <color theme="1"/>
        <rFont val="Aptos Narrow"/>
        <family val="2"/>
        <scheme val="minor"/>
      </rPr>
      <t>.</t>
    </r>
  </si>
  <si>
    <t>El sistema no es estable o robusto y no maneja las excepciones de manera adecuada.</t>
  </si>
  <si>
    <t>Catálogos</t>
  </si>
  <si>
    <r>
      <rPr>
        <b/>
        <sz val="11"/>
        <color theme="1"/>
        <rFont val="Aptos Narrow"/>
        <family val="2"/>
        <scheme val="minor"/>
      </rPr>
      <t>Toda la información del sistema es ingresada desde la aplicación y no desde la base de datos</t>
    </r>
    <r>
      <rPr>
        <sz val="11"/>
        <color theme="1"/>
        <rFont val="Aptos Narrow"/>
        <family val="2"/>
        <scheme val="minor"/>
      </rPr>
      <t>. Todo ingreso debe tener su respectiva pantalla en el front end para el registro, modificación y eliminación de cada registro de catálogos.</t>
    </r>
  </si>
  <si>
    <r>
      <t xml:space="preserve">Al menos un </t>
    </r>
    <r>
      <rPr>
        <b/>
        <sz val="11"/>
        <color theme="1"/>
        <rFont val="Aptos Narrow"/>
        <family val="2"/>
        <scheme val="minor"/>
      </rPr>
      <t>90</t>
    </r>
    <r>
      <rPr>
        <sz val="11"/>
        <color theme="1"/>
        <rFont val="Aptos Narrow"/>
        <family val="2"/>
        <scheme val="minor"/>
      </rPr>
      <t>% de los datos son parametrizables en el catálogo.</t>
    </r>
  </si>
  <si>
    <r>
      <t xml:space="preserve">Al menos un </t>
    </r>
    <r>
      <rPr>
        <b/>
        <sz val="11"/>
        <color theme="1"/>
        <rFont val="Aptos Narrow"/>
        <family val="2"/>
        <scheme val="minor"/>
      </rPr>
      <t>85</t>
    </r>
    <r>
      <rPr>
        <sz val="11"/>
        <color theme="1"/>
        <rFont val="Aptos Narrow"/>
        <family val="2"/>
        <scheme val="minor"/>
      </rPr>
      <t>% de los datos son parametrizables en el catálogo.</t>
    </r>
  </si>
  <si>
    <r>
      <t xml:space="preserve">Al menos un </t>
    </r>
    <r>
      <rPr>
        <b/>
        <sz val="11"/>
        <color theme="1"/>
        <rFont val="Aptos Narrow"/>
        <family val="2"/>
        <scheme val="minor"/>
      </rPr>
      <t>80</t>
    </r>
    <r>
      <rPr>
        <sz val="11"/>
        <color theme="1"/>
        <rFont val="Aptos Narrow"/>
        <family val="2"/>
        <scheme val="minor"/>
      </rPr>
      <t>% de los datos son parametrizables en el catálogo.</t>
    </r>
  </si>
  <si>
    <r>
      <rPr>
        <b/>
        <sz val="11"/>
        <color theme="1"/>
        <rFont val="Aptos Narrow"/>
        <family val="2"/>
        <scheme val="minor"/>
      </rPr>
      <t>Menos del 80</t>
    </r>
    <r>
      <rPr>
        <sz val="11"/>
        <color theme="1"/>
        <rFont val="Aptos Narrow"/>
        <family val="2"/>
        <scheme val="minor"/>
      </rPr>
      <t>% de los datos son parametrizables o no están debidamente parametrizados.</t>
    </r>
  </si>
  <si>
    <t>Parametrización</t>
  </si>
  <si>
    <r>
      <rPr>
        <b/>
        <sz val="11"/>
        <color theme="1"/>
        <rFont val="Aptos Narrow"/>
        <family val="2"/>
        <scheme val="minor"/>
      </rPr>
      <t>Todo el sistema es parametrizable</t>
    </r>
    <r>
      <rPr>
        <sz val="11"/>
        <color theme="1"/>
        <rFont val="Aptos Narrow"/>
        <family val="2"/>
        <scheme val="minor"/>
      </rPr>
      <t>, no hay uso de parámetros establecidos en el código en duro. Todo es obtenido de una tabla y un administrador puede cambiar cambiar dichos parámetros a través del sistema.</t>
    </r>
  </si>
  <si>
    <r>
      <t xml:space="preserve">El sistema posee parametrización, pero requiere </t>
    </r>
    <r>
      <rPr>
        <b/>
        <sz val="11"/>
        <color theme="1"/>
        <rFont val="Aptos Narrow"/>
        <family val="2"/>
        <scheme val="minor"/>
      </rPr>
      <t>leves mejoras</t>
    </r>
    <r>
      <rPr>
        <sz val="11"/>
        <color theme="1"/>
        <rFont val="Aptos Narrow"/>
        <family val="2"/>
        <scheme val="minor"/>
      </rPr>
      <t>.</t>
    </r>
  </si>
  <si>
    <r>
      <t xml:space="preserve">El sistema posee parametrización, pero requiere </t>
    </r>
    <r>
      <rPr>
        <b/>
        <sz val="11"/>
        <color theme="1"/>
        <rFont val="Aptos Narrow"/>
        <family val="2"/>
        <scheme val="minor"/>
      </rPr>
      <t>mejoras</t>
    </r>
    <r>
      <rPr>
        <sz val="11"/>
        <color theme="1"/>
        <rFont val="Aptos Narrow"/>
        <family val="2"/>
        <scheme val="minor"/>
      </rPr>
      <t>.</t>
    </r>
  </si>
  <si>
    <t>El sistema no está parametrizado.</t>
  </si>
  <si>
    <t>Integridad</t>
  </si>
  <si>
    <r>
      <t xml:space="preserve">El sistema </t>
    </r>
    <r>
      <rPr>
        <b/>
        <sz val="11"/>
        <color theme="1"/>
        <rFont val="Aptos Narrow"/>
        <family val="2"/>
        <scheme val="minor"/>
      </rPr>
      <t>no permite</t>
    </r>
    <r>
      <rPr>
        <sz val="11"/>
        <color theme="1"/>
        <rFont val="Aptos Narrow"/>
        <family val="2"/>
        <scheme val="minor"/>
      </rPr>
      <t xml:space="preserve"> el ingreso de datos basura en la base de datos que puedan producir errores de integridad e inconsistencia.</t>
    </r>
  </si>
  <si>
    <r>
      <t xml:space="preserve">Al menos un </t>
    </r>
    <r>
      <rPr>
        <b/>
        <sz val="11"/>
        <color theme="1"/>
        <rFont val="Aptos Narrow"/>
        <family val="2"/>
        <scheme val="minor"/>
      </rPr>
      <t>90</t>
    </r>
    <r>
      <rPr>
        <sz val="11"/>
        <color theme="1"/>
        <rFont val="Aptos Narrow"/>
        <family val="2"/>
        <scheme val="minor"/>
      </rPr>
      <t>% del sistema no permite ingresar datos basura.</t>
    </r>
  </si>
  <si>
    <r>
      <t xml:space="preserve">Al menos un </t>
    </r>
    <r>
      <rPr>
        <b/>
        <sz val="11"/>
        <color theme="1"/>
        <rFont val="Aptos Narrow"/>
        <family val="2"/>
        <scheme val="minor"/>
      </rPr>
      <t>85</t>
    </r>
    <r>
      <rPr>
        <sz val="11"/>
        <color theme="1"/>
        <rFont val="Aptos Narrow"/>
        <family val="2"/>
        <scheme val="minor"/>
      </rPr>
      <t>% del sistema no permite ingresar datos basura.</t>
    </r>
  </si>
  <si>
    <r>
      <t xml:space="preserve">Al menos un </t>
    </r>
    <r>
      <rPr>
        <b/>
        <sz val="11"/>
        <color theme="1"/>
        <rFont val="Aptos Narrow"/>
        <family val="2"/>
        <scheme val="minor"/>
      </rPr>
      <t>80</t>
    </r>
    <r>
      <rPr>
        <sz val="11"/>
        <color theme="1"/>
        <rFont val="Aptos Narrow"/>
        <family val="2"/>
        <scheme val="minor"/>
      </rPr>
      <t>% del sistema no permite ingresar datos basura.</t>
    </r>
  </si>
  <si>
    <r>
      <rPr>
        <b/>
        <sz val="11"/>
        <color theme="1"/>
        <rFont val="Aptos Narrow"/>
        <family val="2"/>
        <scheme val="minor"/>
      </rPr>
      <t>Menos del 80</t>
    </r>
    <r>
      <rPr>
        <sz val="11"/>
        <color theme="1"/>
        <rFont val="Aptos Narrow"/>
        <family val="2"/>
        <scheme val="minor"/>
      </rPr>
      <t>% del sistema no permite ingresar datos basura.</t>
    </r>
  </si>
  <si>
    <t>Bitácora</t>
  </si>
  <si>
    <t>Los cambios realizados en los catálogos se guardan en la bitácora. Debe almacenar fecha, hora, tipo de cambio, objeto, descripción del cambio y el nombre del usuario que lo realizó.</t>
  </si>
  <si>
    <r>
      <t xml:space="preserve">Se tiene una bitácora pero requiere </t>
    </r>
    <r>
      <rPr>
        <b/>
        <sz val="11"/>
        <color theme="1"/>
        <rFont val="Aptos Narrow"/>
        <family val="2"/>
        <scheme val="minor"/>
      </rPr>
      <t>leves mejoras</t>
    </r>
    <r>
      <rPr>
        <sz val="11"/>
        <color theme="1"/>
        <rFont val="Aptos Narrow"/>
        <family val="2"/>
        <scheme val="minor"/>
      </rPr>
      <t>.</t>
    </r>
  </si>
  <si>
    <r>
      <t>Se tiene una bitácora pero requiere</t>
    </r>
    <r>
      <rPr>
        <b/>
        <sz val="11"/>
        <color theme="1"/>
        <rFont val="Aptos Narrow"/>
        <family val="2"/>
        <scheme val="minor"/>
      </rPr>
      <t xml:space="preserve"> mejoras</t>
    </r>
    <r>
      <rPr>
        <sz val="11"/>
        <color theme="1"/>
        <rFont val="Aptos Narrow"/>
        <family val="2"/>
        <scheme val="minor"/>
      </rPr>
      <t>.</t>
    </r>
  </si>
  <si>
    <r>
      <t xml:space="preserve">Se tiene una bitácora pero guarda la información </t>
    </r>
    <r>
      <rPr>
        <b/>
        <sz val="11"/>
        <color theme="1"/>
        <rFont val="Aptos Narrow"/>
        <family val="2"/>
        <scheme val="minor"/>
      </rPr>
      <t>incorrectamente</t>
    </r>
    <r>
      <rPr>
        <sz val="11"/>
        <color theme="1"/>
        <rFont val="Aptos Narrow"/>
        <family val="2"/>
        <scheme val="minor"/>
      </rPr>
      <t>.</t>
    </r>
  </si>
  <si>
    <r>
      <rPr>
        <b/>
        <sz val="11"/>
        <color theme="1"/>
        <rFont val="Aptos Narrow"/>
        <family val="2"/>
        <scheme val="minor"/>
      </rPr>
      <t>No se encuentra la bitácora</t>
    </r>
    <r>
      <rPr>
        <sz val="11"/>
        <color theme="1"/>
        <rFont val="Aptos Narrow"/>
        <family val="2"/>
        <scheme val="minor"/>
      </rPr>
      <t xml:space="preserve"> en el sistema</t>
    </r>
  </si>
  <si>
    <t>Campos de Auditoría</t>
  </si>
  <si>
    <r>
      <t xml:space="preserve">El </t>
    </r>
    <r>
      <rPr>
        <b/>
        <sz val="11"/>
        <color theme="1"/>
        <rFont val="Aptos Narrow"/>
        <family val="2"/>
        <scheme val="minor"/>
      </rPr>
      <t>100</t>
    </r>
    <r>
      <rPr>
        <sz val="11"/>
        <color theme="1"/>
        <rFont val="Aptos Narrow"/>
        <family val="2"/>
        <scheme val="minor"/>
      </rPr>
      <t>% de las tablas del proyecto poseen los campos de auditoría debidamente identificados y funcionales.</t>
    </r>
  </si>
  <si>
    <r>
      <t xml:space="preserve">Al menos un </t>
    </r>
    <r>
      <rPr>
        <b/>
        <sz val="11"/>
        <color theme="1"/>
        <rFont val="Aptos Narrow"/>
        <family val="2"/>
        <scheme val="minor"/>
      </rPr>
      <t>90</t>
    </r>
    <r>
      <rPr>
        <sz val="11"/>
        <color theme="1"/>
        <rFont val="Aptos Narrow"/>
        <family val="2"/>
        <scheme val="minor"/>
      </rPr>
      <t>% de las tablas del proyecto poseen los campos de auditoría debidamente identificados y funcionales.</t>
    </r>
  </si>
  <si>
    <r>
      <t xml:space="preserve">Al menos un </t>
    </r>
    <r>
      <rPr>
        <b/>
        <sz val="11"/>
        <color theme="1"/>
        <rFont val="Aptos Narrow"/>
        <family val="2"/>
        <scheme val="minor"/>
      </rPr>
      <t>85</t>
    </r>
    <r>
      <rPr>
        <sz val="11"/>
        <color theme="1"/>
        <rFont val="Aptos Narrow"/>
        <family val="2"/>
        <scheme val="minor"/>
      </rPr>
      <t>% de las tablas del proyecto poseen los campos de auditoría debidamente identificados y funcionales.</t>
    </r>
  </si>
  <si>
    <r>
      <t xml:space="preserve">Al menos un </t>
    </r>
    <r>
      <rPr>
        <b/>
        <sz val="11"/>
        <color theme="1"/>
        <rFont val="Aptos Narrow"/>
        <family val="2"/>
        <scheme val="minor"/>
      </rPr>
      <t>80</t>
    </r>
    <r>
      <rPr>
        <sz val="11"/>
        <color theme="1"/>
        <rFont val="Aptos Narrow"/>
        <family val="2"/>
        <scheme val="minor"/>
      </rPr>
      <t>% de las tablas del proyecto poseen los campos de auditoría debidamente identificados y funcionales.</t>
    </r>
  </si>
  <si>
    <r>
      <rPr>
        <b/>
        <sz val="11"/>
        <color theme="1"/>
        <rFont val="Aptos Narrow"/>
        <family val="2"/>
        <scheme val="minor"/>
      </rPr>
      <t>Menos del 80</t>
    </r>
    <r>
      <rPr>
        <sz val="11"/>
        <color theme="1"/>
        <rFont val="Aptos Narrow"/>
        <family val="2"/>
        <scheme val="minor"/>
      </rPr>
      <t>% de las tablas del proyecto poseen los campos de auditoría debidamente identificados y funcionales.</t>
    </r>
  </si>
  <si>
    <t>Job</t>
  </si>
  <si>
    <r>
      <t xml:space="preserve">Fue posible comprobar las funcionalidades solicitadas para la </t>
    </r>
    <r>
      <rPr>
        <b/>
        <sz val="11"/>
        <color theme="1"/>
        <rFont val="Aptos Narrow"/>
        <family val="2"/>
        <scheme val="minor"/>
      </rPr>
      <t>correcta ejecución</t>
    </r>
    <r>
      <rPr>
        <sz val="11"/>
        <color theme="1"/>
        <rFont val="Aptos Narrow"/>
        <family val="2"/>
        <scheme val="minor"/>
      </rPr>
      <t xml:space="preserve"> de los jobs y estos funcionan perfectamente. Los jobs se ejecutan correctamente en las fechas correspondientes. </t>
    </r>
  </si>
  <si>
    <r>
      <t xml:space="preserve">Los jobs funcionan pero requiere de </t>
    </r>
    <r>
      <rPr>
        <b/>
        <sz val="11"/>
        <color theme="1"/>
        <rFont val="Aptos Narrow"/>
        <family val="2"/>
        <scheme val="minor"/>
      </rPr>
      <t>mejoras leves</t>
    </r>
    <r>
      <rPr>
        <sz val="11"/>
        <color theme="1"/>
        <rFont val="Aptos Narrow"/>
        <family val="2"/>
        <scheme val="minor"/>
      </rPr>
      <t>.</t>
    </r>
  </si>
  <si>
    <r>
      <t xml:space="preserve">Los jobs funcionan pero requiere de </t>
    </r>
    <r>
      <rPr>
        <b/>
        <sz val="11"/>
        <color theme="1"/>
        <rFont val="Aptos Narrow"/>
        <family val="2"/>
        <scheme val="minor"/>
      </rPr>
      <t>mejoras significativas</t>
    </r>
    <r>
      <rPr>
        <sz val="11"/>
        <color theme="1"/>
        <rFont val="Aptos Narrow"/>
        <family val="2"/>
        <scheme val="minor"/>
      </rPr>
      <t>.</t>
    </r>
  </si>
  <si>
    <r>
      <t xml:space="preserve">Los jobs están desarrollados pero presentan </t>
    </r>
    <r>
      <rPr>
        <b/>
        <sz val="11"/>
        <color theme="1"/>
        <rFont val="Aptos Narrow"/>
        <family val="2"/>
        <scheme val="minor"/>
      </rPr>
      <t>defectos importantes</t>
    </r>
    <r>
      <rPr>
        <sz val="11"/>
        <color theme="1"/>
        <rFont val="Aptos Narrow"/>
        <family val="2"/>
        <scheme val="minor"/>
      </rPr>
      <t xml:space="preserve"> y requiere correcciones considerables. Por ejemplo, que a veces funcionen y otras veces no, o </t>
    </r>
    <r>
      <rPr>
        <b/>
        <sz val="11"/>
        <color theme="1"/>
        <rFont val="Aptos Narrow"/>
        <family val="2"/>
        <scheme val="minor"/>
      </rPr>
      <t>presentan problemas</t>
    </r>
    <r>
      <rPr>
        <sz val="11"/>
        <color theme="1"/>
        <rFont val="Aptos Narrow"/>
        <family val="2"/>
        <scheme val="minor"/>
      </rPr>
      <t xml:space="preserve"> de inconsistencia de datos. </t>
    </r>
  </si>
  <si>
    <r>
      <rPr>
        <b/>
        <sz val="11"/>
        <color theme="1"/>
        <rFont val="Aptos Narrow"/>
        <family val="2"/>
        <scheme val="minor"/>
      </rPr>
      <t>No</t>
    </r>
    <r>
      <rPr>
        <sz val="11"/>
        <color theme="1"/>
        <rFont val="Aptos Narrow"/>
        <family val="2"/>
        <scheme val="minor"/>
      </rPr>
      <t xml:space="preserve"> se presentan los </t>
    </r>
    <r>
      <rPr>
        <b/>
        <sz val="11"/>
        <color theme="1"/>
        <rFont val="Aptos Narrow"/>
        <family val="2"/>
        <scheme val="minor"/>
      </rPr>
      <t>jobs</t>
    </r>
    <r>
      <rPr>
        <sz val="11"/>
        <color theme="1"/>
        <rFont val="Aptos Narrow"/>
        <family val="2"/>
        <scheme val="minor"/>
      </rPr>
      <t xml:space="preserve"> en el sistema.</t>
    </r>
  </si>
  <si>
    <t>Listado de comercios afiliados con sus datos y sus direcciones. La consulta debe incluir un total de comercios al final. Filtros mínimos: nombre del comercio, encargado, tipo de comercio.</t>
  </si>
  <si>
    <r>
      <t xml:space="preserve">Es posible comprobar la consulta solicitada. La información mostrada en pantalla es </t>
    </r>
    <r>
      <rPr>
        <b/>
        <sz val="11"/>
        <color theme="1"/>
        <rFont val="Aptos Narrow"/>
        <family val="2"/>
        <scheme val="minor"/>
      </rPr>
      <t>correcta</t>
    </r>
    <r>
      <rPr>
        <sz val="11"/>
        <color theme="1"/>
        <rFont val="Aptos Narrow"/>
        <family val="2"/>
        <scheme val="minor"/>
      </rPr>
      <t xml:space="preserve"> y carece de errores. Los filtros funcionan correctamente (si aplica).</t>
    </r>
  </si>
  <si>
    <r>
      <t xml:space="preserve">Es posible comprobar la consulta solicitada pero requiere de </t>
    </r>
    <r>
      <rPr>
        <b/>
        <sz val="11"/>
        <color theme="1"/>
        <rFont val="Aptos Narrow"/>
        <family val="2"/>
        <scheme val="minor"/>
      </rPr>
      <t>mejoras leves</t>
    </r>
    <r>
      <rPr>
        <sz val="11"/>
        <color theme="1"/>
        <rFont val="Aptos Narrow"/>
        <family val="2"/>
        <scheme val="minor"/>
      </rPr>
      <t>.</t>
    </r>
  </si>
  <si>
    <r>
      <t xml:space="preserve">Es posible comprobar la consulta solicitada pero requiere de </t>
    </r>
    <r>
      <rPr>
        <b/>
        <sz val="11"/>
        <color theme="1"/>
        <rFont val="Aptos Narrow"/>
        <family val="2"/>
        <scheme val="minor"/>
      </rPr>
      <t>mejoras considerables</t>
    </r>
    <r>
      <rPr>
        <sz val="11"/>
        <color theme="1"/>
        <rFont val="Aptos Narrow"/>
        <family val="2"/>
        <scheme val="minor"/>
      </rPr>
      <t>.</t>
    </r>
  </si>
  <si>
    <t>No se presenta la información de los datos en su totalidad o poseen errores graves como inconsistencias en los datos.</t>
  </si>
  <si>
    <t>Listado de usuarios del sistema. Filtros mínimos: nombre, cédula, provincia, cantón, distrito.</t>
  </si>
  <si>
    <t>Listado de los usuarios cuyas claves no han sido modificadas en los últimos días o meses. El reporte debe incluir un total de personas al final. Filtros mínimos: nombres, apellidos, cédula, usuario, rango de fechas.</t>
  </si>
  <si>
    <t>Listado de productos con mayor solicitud de canje y sus respectivos comercios.</t>
  </si>
  <si>
    <t>Consulta: Listado de usuarios con total de puntos, cantidad de puntos acumulados, puntos canjeados y diferencia. El reporte debe incluir un total de cada uno de los puntos. Filtros mínimos: rango de fechas.</t>
  </si>
  <si>
    <t>Consulta Comercio Afiliado: Listado de productos que ofrece un comercio afiliado</t>
  </si>
  <si>
    <t>Consulta Comercio Afiliado: Top 5 de productos más canjeados por centro afiliado</t>
  </si>
  <si>
    <t>Consulta Comercio Afiliado: Total de puntos canjeados en sus productos. Por centro afiliado</t>
  </si>
  <si>
    <t xml:space="preserve">Consulta Centro de Acopio: Listado de materiales reciclados subdividido por tipo de material y cantidad recibida agrupada por mes y año. Filtros mínimos: mes y año. </t>
  </si>
  <si>
    <t>Consulta Centro de Acopio: Top 5 de usuarios que más reciclaje les generan</t>
  </si>
  <si>
    <t>Consulta Centro de Acopio: Listado de puntos obtenidos por usuarios que llevan su reciclaje al centro de acopio. Filtros: cédula, nombre del usuario</t>
  </si>
  <si>
    <t>Estadística: Total de usuarios agrupado por rango de edad. De 0 a 18, de 19 a 30, de 31 a 45, de 46 a 55, de 56 a 65, de 66 a 75, de 76 a 85, mayores a 85.</t>
  </si>
  <si>
    <t>Estadística: Total de comercios afiliados agrupados por tipo de comercio.</t>
  </si>
  <si>
    <t>Estadística: Total de productos canjeados por mes y por año.</t>
  </si>
  <si>
    <t>Estadística: Top 5 de los usuarios con mayores puntajes a nivel general.</t>
  </si>
  <si>
    <t>Color Seleccionado</t>
  </si>
  <si>
    <t>Rango Macro</t>
  </si>
  <si>
    <t>Color No Seleccionado</t>
  </si>
  <si>
    <t>Color División</t>
  </si>
  <si>
    <t>Columnas (A, B, C, etc…)</t>
  </si>
  <si>
    <t>##</t>
  </si>
  <si>
    <t>Excepciones</t>
  </si>
  <si>
    <t>Inicio:</t>
  </si>
  <si>
    <t>(Lineas División)</t>
  </si>
  <si>
    <t>Fin:</t>
  </si>
  <si>
    <t>Filas (1, 2, 3,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</si>
</sst>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8"/>
      <color theme="1"/>
      <name val="Aptos Narrow"/>
      <family val="2"/>
      <scheme val="minor"/>
    </font>
    <font>
      <b/>
      <sz val="22"/>
      <color theme="1"/>
      <name val="Aptos Narrow"/>
      <family val="2"/>
      <scheme val="minor"/>
    </font>
    <font>
      <b/>
      <sz val="24"/>
      <color theme="1"/>
      <name val="Aptos Narrow"/>
      <family val="2"/>
      <scheme val="minor"/>
    </font>
    <font>
      <b/>
      <sz val="14"/>
      <color theme="1"/>
      <name val="Aptos Narrow"/>
      <family val="2"/>
      <scheme val="minor"/>
    </font>
    <font>
      <sz val="14"/>
      <color theme="1"/>
      <name val="Aptos Narrow"/>
      <family val="2"/>
      <scheme val="minor"/>
    </font>
    <font>
      <sz val="22"/>
      <color theme="1"/>
      <name val="Aptos Narrow"/>
      <family val="2"/>
      <scheme val="minor"/>
    </font>
  </fonts>
  <fills count="20">
    <fill>
      <patternFill patternType="none"/>
    </fill>
    <fill>
      <patternFill patternType="gray125"/>
    </fill>
    <fill>
      <patternFill patternType="solid">
        <fgColor theme="7" tint="0.39997558519241921"/>
        <bgColor indexed="64"/>
      </patternFill>
    </fill>
    <fill>
      <patternFill patternType="solid">
        <fgColor rgb="FF61CBF3"/>
        <bgColor indexed="64"/>
      </patternFill>
    </fill>
    <fill>
      <patternFill patternType="solid">
        <fgColor rgb="FF00B0F0"/>
        <bgColor indexed="64"/>
      </patternFill>
    </fill>
    <fill>
      <patternFill patternType="solid">
        <fgColor rgb="FF00F07E"/>
        <bgColor indexed="64"/>
      </patternFill>
    </fill>
    <fill>
      <patternFill patternType="solid">
        <fgColor rgb="FFF0E500"/>
        <bgColor indexed="64"/>
      </patternFill>
    </fill>
    <fill>
      <patternFill patternType="solid">
        <fgColor rgb="FF2195FF"/>
        <bgColor indexed="64"/>
      </patternFill>
    </fill>
    <fill>
      <patternFill patternType="solid">
        <fgColor rgb="FFBDF000"/>
        <bgColor indexed="64"/>
      </patternFill>
    </fill>
    <fill>
      <patternFill patternType="solid">
        <fgColor rgb="FFFF4A37"/>
        <bgColor indexed="64"/>
      </patternFill>
    </fill>
    <fill>
      <patternFill patternType="solid">
        <fgColor rgb="FF8837FF"/>
        <bgColor indexed="64"/>
      </patternFill>
    </fill>
    <fill>
      <patternFill patternType="solid">
        <fgColor rgb="FFE7F7FD"/>
        <bgColor indexed="64"/>
      </patternFill>
    </fill>
    <fill>
      <patternFill patternType="solid">
        <fgColor rgb="FFEBDDFF"/>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rgb="FF0066CC"/>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s>
  <borders count="3">
    <border>
      <left/>
      <right/>
      <top/>
      <bottom/>
      <diagonal/>
    </border>
    <border>
      <left/>
      <right/>
      <top style="thin">
        <color rgb="FF999999"/>
      </top>
      <bottom/>
      <diagonal/>
    </border>
    <border>
      <left/>
      <right/>
      <top style="thin">
        <color indexed="65"/>
      </top>
      <bottom/>
      <diagonal/>
    </border>
  </borders>
  <cellStyleXfs count="2">
    <xf numFmtId="0" fontId="0" fillId="0" borderId="0"/>
    <xf numFmtId="9" fontId="1" fillId="0" borderId="0" applyFont="0" applyFill="0" applyBorder="0" applyAlignment="0" applyProtection="0"/>
  </cellStyleXfs>
  <cellXfs count="59">
    <xf numFmtId="0" fontId="0" fillId="0" borderId="0" xfId="0"/>
    <xf numFmtId="0" fontId="0" fillId="0" borderId="0" xfId="0" applyAlignment="1">
      <alignment horizontal="center" vertical="center" wrapText="1"/>
    </xf>
    <xf numFmtId="0" fontId="0" fillId="0" borderId="0" xfId="0" applyAlignment="1">
      <alignment horizontal="center" vertical="center"/>
    </xf>
    <xf numFmtId="9" fontId="0" fillId="0" borderId="0" xfId="1" applyFont="1" applyFill="1" applyAlignment="1">
      <alignment horizontal="center" vertical="center"/>
    </xf>
    <xf numFmtId="0" fontId="0" fillId="2" borderId="0" xfId="0" applyFill="1"/>
    <xf numFmtId="10" fontId="0" fillId="0" borderId="0" xfId="1" applyNumberFormat="1" applyFont="1" applyFill="1" applyAlignment="1">
      <alignment horizontal="center" vertical="center"/>
    </xf>
    <xf numFmtId="0" fontId="0" fillId="5" borderId="0" xfId="0" applyFill="1" applyAlignment="1">
      <alignment horizontal="center" vertical="center" wrapText="1"/>
    </xf>
    <xf numFmtId="0" fontId="0" fillId="6" borderId="0" xfId="0" applyFill="1" applyAlignment="1">
      <alignment horizontal="center" vertical="center" wrapText="1"/>
    </xf>
    <xf numFmtId="0" fontId="4" fillId="5" borderId="0" xfId="0" applyFont="1" applyFill="1" applyAlignment="1">
      <alignment horizontal="center" vertical="center" wrapText="1"/>
    </xf>
    <xf numFmtId="0" fontId="4" fillId="6" borderId="0" xfId="0" applyFont="1" applyFill="1" applyAlignment="1">
      <alignment horizontal="center" vertical="center" wrapText="1"/>
    </xf>
    <xf numFmtId="0" fontId="4" fillId="7" borderId="0" xfId="0" applyFont="1" applyFill="1" applyAlignment="1">
      <alignment horizontal="center" vertical="center" wrapText="1"/>
    </xf>
    <xf numFmtId="0" fontId="6" fillId="7" borderId="0" xfId="0" applyFont="1" applyFill="1" applyAlignment="1">
      <alignment horizontal="center" vertical="center" wrapText="1"/>
    </xf>
    <xf numFmtId="0" fontId="6" fillId="5" borderId="0" xfId="0" applyFont="1" applyFill="1" applyAlignment="1">
      <alignment horizontal="center" vertical="center" wrapText="1"/>
    </xf>
    <xf numFmtId="0" fontId="4" fillId="8" borderId="0" xfId="0" applyFont="1" applyFill="1" applyAlignment="1">
      <alignment horizontal="center" vertical="center" wrapText="1"/>
    </xf>
    <xf numFmtId="0" fontId="6" fillId="8" borderId="0" xfId="0" applyFont="1" applyFill="1" applyAlignment="1">
      <alignment horizontal="center" vertical="center" wrapText="1"/>
    </xf>
    <xf numFmtId="0" fontId="6" fillId="6" borderId="0" xfId="0" applyFont="1" applyFill="1" applyAlignment="1">
      <alignment horizontal="center" vertical="center" wrapText="1"/>
    </xf>
    <xf numFmtId="0" fontId="4" fillId="9" borderId="0" xfId="0" applyFont="1" applyFill="1" applyAlignment="1">
      <alignment horizontal="center" vertical="center" wrapText="1"/>
    </xf>
    <xf numFmtId="0" fontId="6" fillId="9" borderId="0" xfId="0" applyFont="1" applyFill="1" applyAlignment="1">
      <alignment horizontal="center" vertical="center" wrapText="1"/>
    </xf>
    <xf numFmtId="0" fontId="0" fillId="7" borderId="0" xfId="0" applyFill="1" applyAlignment="1">
      <alignment horizontal="center" vertical="center" wrapText="1"/>
    </xf>
    <xf numFmtId="9" fontId="5" fillId="4" borderId="0" xfId="1" applyFont="1"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4" fillId="10" borderId="0" xfId="0" applyFont="1" applyFill="1" applyAlignment="1">
      <alignment horizontal="center" vertical="center" wrapText="1"/>
    </xf>
    <xf numFmtId="0" fontId="6" fillId="10" borderId="0" xfId="0" applyFont="1" applyFill="1" applyAlignment="1">
      <alignment horizontal="center" vertical="center" wrapText="1"/>
    </xf>
    <xf numFmtId="0" fontId="0" fillId="3" borderId="0" xfId="0" applyFill="1" applyAlignment="1">
      <alignment horizontal="center" vertical="center" wrapText="1"/>
    </xf>
    <xf numFmtId="0" fontId="0" fillId="11" borderId="0" xfId="0" applyFill="1"/>
    <xf numFmtId="0" fontId="0" fillId="11" borderId="0" xfId="0" applyFill="1" applyAlignment="1">
      <alignment horizontal="center" vertical="center" wrapText="1"/>
    </xf>
    <xf numFmtId="0" fontId="0" fillId="12" borderId="0" xfId="0" applyFill="1" applyAlignment="1">
      <alignment horizontal="center" vertical="center" wrapText="1"/>
    </xf>
    <xf numFmtId="0" fontId="7" fillId="0" borderId="0" xfId="0" applyFont="1" applyAlignment="1">
      <alignment horizontal="center" vertical="center" wrapText="1"/>
    </xf>
    <xf numFmtId="0" fontId="8" fillId="0" borderId="0" xfId="0" applyFont="1" applyAlignment="1">
      <alignment horizontal="center" vertical="center" wrapText="1"/>
    </xf>
    <xf numFmtId="9" fontId="8" fillId="0" borderId="0" xfId="1" applyFont="1" applyFill="1" applyAlignment="1">
      <alignment horizontal="center" vertical="center"/>
    </xf>
    <xf numFmtId="10" fontId="8" fillId="0" borderId="0" xfId="1" applyNumberFormat="1" applyFont="1" applyFill="1" applyAlignment="1">
      <alignment horizontal="center" vertical="center"/>
    </xf>
    <xf numFmtId="0" fontId="0" fillId="13" borderId="0" xfId="0" applyFill="1"/>
    <xf numFmtId="0" fontId="0" fillId="13" borderId="0" xfId="0" applyFill="1" applyAlignment="1">
      <alignment horizontal="right"/>
    </xf>
    <xf numFmtId="0" fontId="0" fillId="14" borderId="0" xfId="0" applyFill="1" applyAlignment="1">
      <alignment horizontal="right"/>
    </xf>
    <xf numFmtId="0" fontId="0" fillId="14" borderId="0" xfId="0" applyFill="1"/>
    <xf numFmtId="0" fontId="2" fillId="13" borderId="0" xfId="0" applyFont="1" applyFill="1" applyAlignment="1">
      <alignment horizontal="right"/>
    </xf>
    <xf numFmtId="0" fontId="2" fillId="13" borderId="0" xfId="0" applyFont="1" applyFill="1"/>
    <xf numFmtId="0" fontId="0" fillId="15" borderId="0" xfId="0" applyFill="1"/>
    <xf numFmtId="0" fontId="4" fillId="4" borderId="0" xfId="0" applyFont="1" applyFill="1" applyAlignment="1">
      <alignment horizontal="center" vertical="center" wrapText="1"/>
    </xf>
    <xf numFmtId="0" fontId="2" fillId="11" borderId="0" xfId="0" applyFont="1" applyFill="1" applyAlignment="1">
      <alignment horizontal="center" vertical="center" wrapText="1"/>
    </xf>
    <xf numFmtId="0" fontId="5" fillId="4" borderId="0" xfId="0" applyFont="1" applyFill="1"/>
    <xf numFmtId="0" fontId="9" fillId="16" borderId="0" xfId="0" applyFont="1" applyFill="1"/>
    <xf numFmtId="0" fontId="5" fillId="4" borderId="1" xfId="0" applyFont="1" applyFill="1" applyBorder="1"/>
    <xf numFmtId="9" fontId="5" fillId="4" borderId="1" xfId="0" applyNumberFormat="1" applyFont="1" applyFill="1" applyBorder="1"/>
    <xf numFmtId="10" fontId="5" fillId="4" borderId="1" xfId="0" applyNumberFormat="1" applyFont="1" applyFill="1" applyBorder="1"/>
    <xf numFmtId="0" fontId="9" fillId="16" borderId="2" xfId="0" applyFont="1" applyFill="1" applyBorder="1" applyAlignment="1">
      <alignment horizontal="left"/>
    </xf>
    <xf numFmtId="9" fontId="9" fillId="0" borderId="0" xfId="0" applyNumberFormat="1" applyFont="1"/>
    <xf numFmtId="0" fontId="9" fillId="0" borderId="0" xfId="0" applyFont="1"/>
    <xf numFmtId="0" fontId="9" fillId="0" borderId="2" xfId="0" applyFont="1" applyBorder="1"/>
    <xf numFmtId="9" fontId="9" fillId="0" borderId="2" xfId="0" applyNumberFormat="1" applyFont="1" applyBorder="1"/>
    <xf numFmtId="10" fontId="9" fillId="0" borderId="2" xfId="0" applyNumberFormat="1" applyFont="1" applyBorder="1"/>
    <xf numFmtId="10" fontId="9" fillId="0" borderId="0" xfId="0" applyNumberFormat="1" applyFont="1"/>
    <xf numFmtId="0" fontId="8" fillId="17" borderId="0" xfId="0" applyFont="1" applyFill="1" applyAlignment="1">
      <alignment horizontal="center" vertical="center" wrapText="1"/>
    </xf>
    <xf numFmtId="0" fontId="8" fillId="18" borderId="0" xfId="0" applyFont="1" applyFill="1" applyAlignment="1">
      <alignment horizontal="center" vertical="center" wrapText="1"/>
    </xf>
    <xf numFmtId="0" fontId="8" fillId="19" borderId="0" xfId="0" applyFont="1" applyFill="1" applyAlignment="1">
      <alignment horizontal="center" vertical="center" wrapText="1"/>
    </xf>
    <xf numFmtId="0" fontId="4" fillId="4" borderId="0" xfId="0" applyFont="1" applyFill="1" applyAlignment="1">
      <alignment horizontal="center" vertical="center" wrapText="1"/>
    </xf>
    <xf numFmtId="0" fontId="3" fillId="4" borderId="0" xfId="0" applyFont="1" applyFill="1" applyAlignment="1">
      <alignment horizontal="center" vertical="center" wrapText="1"/>
    </xf>
  </cellXfs>
  <cellStyles count="2">
    <cellStyle name="Normal" xfId="0" builtinId="0"/>
    <cellStyle name="Porcentaje" xfId="1" builtinId="5"/>
  </cellStyles>
  <dxfs count="28">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border>
        <left/>
        <right/>
        <top/>
        <bottom/>
      </border>
    </dxf>
    <dxf>
      <border>
        <left/>
        <right/>
        <top/>
        <bottom/>
      </border>
    </dxf>
    <dxf>
      <border>
        <left/>
        <right/>
        <top/>
        <bottom/>
      </border>
    </dxf>
    <dxf>
      <border>
        <left/>
        <right/>
        <top/>
        <bottom/>
      </border>
    </dxf>
    <dxf>
      <border>
        <left/>
        <right/>
        <top/>
        <bottom/>
      </border>
    </dxf>
    <dxf>
      <border>
        <left/>
        <right/>
        <top/>
        <bottom/>
      </border>
    </dxf>
    <dxf>
      <fill>
        <patternFill patternType="solid">
          <bgColor rgb="FF00B0F0"/>
        </patternFill>
      </fill>
    </dxf>
    <dxf>
      <font>
        <b/>
      </font>
    </dxf>
    <dxf>
      <font>
        <b/>
      </font>
    </dxf>
    <dxf>
      <font>
        <sz val="22"/>
      </font>
    </dxf>
    <dxf>
      <font>
        <sz val="22"/>
      </font>
    </dxf>
    <dxf>
      <font>
        <b/>
        <sz val="22"/>
      </font>
      <fill>
        <patternFill patternType="solid">
          <fgColor indexed="64"/>
          <bgColor rgb="FF00B0F0"/>
        </patternFill>
      </fill>
      <alignment horizontal="general" vertical="bottom" textRotation="0" wrapText="0" indent="0" justifyLastLine="0" shrinkToFit="0" readingOrder="0"/>
    </dxf>
    <dxf>
      <fill>
        <patternFill>
          <bgColor theme="0"/>
        </patternFill>
      </fill>
    </dxf>
    <dxf>
      <font>
        <b val="0"/>
      </font>
    </dxf>
    <dxf>
      <font>
        <b/>
        <sz val="22"/>
      </font>
      <alignment horizontal="general" vertical="bottom" textRotation="0" wrapText="0" indent="0" justifyLastLine="0" shrinkToFit="0" readingOrder="0"/>
    </dxf>
    <dxf>
      <font>
        <b/>
        <sz val="22"/>
      </font>
      <alignment horizontal="general" vertical="bottom" textRotation="0" wrapText="0" indent="0" justifyLastLine="0" shrinkToFit="0" readingOrder="0"/>
    </dxf>
    <dxf>
      <numFmt numFmtId="14" formatCode="0.00%"/>
    </dxf>
    <dxf>
      <numFmt numFmtId="13" formatCode="0%"/>
    </dxf>
    <dxf>
      <font>
        <sz val="22"/>
      </font>
      <fill>
        <patternFill patternType="solid">
          <fgColor indexed="64"/>
          <bgColor theme="0"/>
        </patternFill>
      </fill>
    </dxf>
    <dxf>
      <font>
        <sz val="22"/>
      </font>
    </dxf>
    <dxf>
      <font>
        <sz val="22"/>
      </font>
    </dxf>
    <dxf>
      <font>
        <sz val="22"/>
      </font>
    </dxf>
    <dxf>
      <font>
        <sz val="22"/>
      </font>
    </dxf>
  </dxfs>
  <tableStyles count="0" defaultTableStyle="TableStyleMedium2" defaultPivotStyle="PivotStyleLight16"/>
  <colors>
    <mruColors>
      <color rgb="FF0066CC"/>
      <color rgb="FFFFFFFF"/>
      <color rgb="FFEBDDFF"/>
      <color rgb="FFE7F7FD"/>
      <color rgb="FFE4D1FF"/>
      <color rgb="FFDAC1FF"/>
      <color rgb="FF8837FF"/>
      <color rgb="FFFF4A37"/>
      <color rgb="FFFF7769"/>
      <color rgb="FFF0E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ue Soto" refreshedDate="45950.812829629627" createdVersion="8" refreshedVersion="8" minRefreshableVersion="3" recordCount="33" xr:uid="{46B3E30C-32FE-4AFA-943F-D44532A5BF13}">
  <cacheSource type="worksheet">
    <worksheetSource ref="A4:D37" sheet="Rubrica"/>
  </cacheSource>
  <cacheFields count="4">
    <cacheField name="Categoría" numFmtId="0">
      <sharedItems count="3">
        <s v="Documentación"/>
        <s v="Funcionalidad"/>
        <s v="Queries"/>
      </sharedItems>
    </cacheField>
    <cacheField name="Rubro a evaluar" numFmtId="0">
      <sharedItems/>
    </cacheField>
    <cacheField name="Total" numFmtId="9">
      <sharedItems containsSemiMixedTypes="0" containsString="0" containsNumber="1" minValue="0.01" maxValue="0.2"/>
    </cacheField>
    <cacheField name="Obtenido" numFmtId="10">
      <sharedItems containsSemiMixedTypes="0" containsString="0" containsNumber="1" minValue="0" maxValue="0.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s v="Casos de Prueba"/>
    <n v="0.04"/>
    <n v="0.04"/>
  </r>
  <r>
    <x v="0"/>
    <s v="Manual de Usuario"/>
    <n v="0.03"/>
    <n v="0.03"/>
  </r>
  <r>
    <x v="0"/>
    <s v="Diccionario de Datos"/>
    <n v="0.03"/>
    <n v="0.03"/>
  </r>
  <r>
    <x v="0"/>
    <s v="Código Limpio_x000a_Clean Code"/>
    <n v="0.01"/>
    <n v="0"/>
  </r>
  <r>
    <x v="0"/>
    <s v="Datos Utilizados"/>
    <n v="0.02"/>
    <n v="0"/>
  </r>
  <r>
    <x v="0"/>
    <s v="Ortografía"/>
    <n v="0.02"/>
    <n v="0"/>
  </r>
  <r>
    <x v="1"/>
    <s v="Registro de Usuarios"/>
    <n v="0.03"/>
    <n v="0"/>
  </r>
  <r>
    <x v="1"/>
    <s v="Seguridad - Inicio de Sesión"/>
    <n v="0.03"/>
    <n v="0"/>
  </r>
  <r>
    <x v="1"/>
    <s v="Registro de Datos"/>
    <n v="0.2"/>
    <n v="0"/>
  </r>
  <r>
    <x v="1"/>
    <s v="Aspecto Visual"/>
    <n v="0.02"/>
    <n v="0"/>
  </r>
  <r>
    <x v="1"/>
    <s v="Diseño Orientado a Capas"/>
    <n v="0.03"/>
    <n v="0"/>
  </r>
  <r>
    <x v="1"/>
    <s v="Estabilidad y Manejo de Excepciones"/>
    <n v="0.05"/>
    <n v="0"/>
  </r>
  <r>
    <x v="1"/>
    <s v="Catálogos"/>
    <n v="0.04"/>
    <n v="0"/>
  </r>
  <r>
    <x v="1"/>
    <s v="Parametrización"/>
    <n v="0.03"/>
    <n v="0"/>
  </r>
  <r>
    <x v="1"/>
    <s v="Integridad"/>
    <n v="0.04"/>
    <n v="0"/>
  </r>
  <r>
    <x v="1"/>
    <s v="Bitácora"/>
    <n v="0.03"/>
    <n v="0"/>
  </r>
  <r>
    <x v="1"/>
    <s v="Campos de Auditoría"/>
    <n v="0.02"/>
    <n v="0"/>
  </r>
  <r>
    <x v="1"/>
    <s v="Job"/>
    <n v="0.02"/>
    <n v="0"/>
  </r>
  <r>
    <x v="2"/>
    <s v="Listado de comercios afiliados con sus datos y sus direcciones. La consulta debe incluir un total de comercios al final. Filtros mínimos: nombre del comercio, encargado, tipo de comercio."/>
    <n v="0.02"/>
    <n v="0"/>
  </r>
  <r>
    <x v="2"/>
    <s v="Listado de usuarios del sistema. Filtros mínimos: nombre, cédula, provincia, cantón, distrito."/>
    <n v="0.02"/>
    <n v="0"/>
  </r>
  <r>
    <x v="2"/>
    <s v="Listado de los usuarios cuyas claves no han sido modificadas en los últimos días o meses. El reporte debe incluir un total de personas al final. Filtros mínimos: nombres, apellidos, cédula, usuario, rango de fechas."/>
    <n v="0.02"/>
    <n v="0"/>
  </r>
  <r>
    <x v="2"/>
    <s v="Listado de productos con mayor solicitud de canje y sus respectivos comercios."/>
    <n v="0.02"/>
    <n v="0"/>
  </r>
  <r>
    <x v="2"/>
    <s v="Consulta: Listado de usuarios con total de puntos, cantidad de puntos acumulados, puntos canjeados y diferencia. El reporte debe incluir un total de cada uno de los puntos. Filtros mínimos: rango de fechas."/>
    <n v="0.02"/>
    <n v="0"/>
  </r>
  <r>
    <x v="2"/>
    <s v="Consulta Comercio Afiliado: Listado de productos que ofrece un comercio afiliado"/>
    <n v="0.02"/>
    <n v="0"/>
  </r>
  <r>
    <x v="2"/>
    <s v="Consulta Comercio Afiliado: Top 5 de productos más canjeados por centro afiliado"/>
    <n v="0.02"/>
    <n v="0"/>
  </r>
  <r>
    <x v="2"/>
    <s v="Consulta Comercio Afiliado: Total de puntos canjeados en sus productos. Por centro afiliado"/>
    <n v="0.02"/>
    <n v="0"/>
  </r>
  <r>
    <x v="2"/>
    <s v="Consulta Centro de Acopio: Listado de materiales reciclados subdividido por tipo de material y cantidad recibida agrupada por mes y año. Filtros mínimos: mes y año. "/>
    <n v="0.02"/>
    <n v="0"/>
  </r>
  <r>
    <x v="2"/>
    <s v="Consulta Centro de Acopio: Top 5 de usuarios que más reciclaje les generan"/>
    <n v="0.02"/>
    <n v="0"/>
  </r>
  <r>
    <x v="2"/>
    <s v="Consulta Centro de Acopio: Listado de puntos obtenidos por usuarios que llevan su reciclaje al centro de acopio. Filtros: cédula, nombre del usuario"/>
    <n v="0.02"/>
    <n v="0"/>
  </r>
  <r>
    <x v="2"/>
    <s v="Estadística: Total de usuarios agrupado por rango de edad. De 0 a 18, de 19 a 30, de 31 a 45, de 46 a 55, de 56 a 65, de 66 a 75, de 76 a 85, mayores a 85."/>
    <n v="0.03"/>
    <n v="0"/>
  </r>
  <r>
    <x v="2"/>
    <s v="Estadística: Total de comercios afiliados agrupados por tipo de comercio."/>
    <n v="0.02"/>
    <n v="0"/>
  </r>
  <r>
    <x v="2"/>
    <s v="Estadística: Total de productos canjeados por mes y por año."/>
    <n v="0.02"/>
    <n v="0"/>
  </r>
  <r>
    <x v="2"/>
    <s v="Estadística: Top 5 de los usuarios con mayores puntajes a nivel general."/>
    <n v="0.0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EFA65A-CC84-4420-89BC-3EF294F8A0E2}" name="TablaDinámica4" cacheId="119" applyNumberFormats="0" applyBorderFormats="0" applyFontFormats="0" applyPatternFormats="0" applyAlignmentFormats="0" applyWidthHeightFormats="1" dataCaption="Valores" grandTotalCaption="Total" updatedVersion="8" minRefreshableVersion="3" useAutoFormatting="1" itemPrintTitles="1" createdVersion="8" indent="0" outline="1" outlineData="1" multipleFieldFilters="0" rowHeaderCaption="Categoría del Rubro">
  <location ref="B2:E6" firstHeaderRow="0" firstDataRow="1" firstDataCol="1"/>
  <pivotFields count="4">
    <pivotField axis="axisRow" dataField="1" showAll="0">
      <items count="4">
        <item x="0"/>
        <item x="1"/>
        <item x="2"/>
        <item t="default"/>
      </items>
    </pivotField>
    <pivotField showAll="0"/>
    <pivotField dataField="1" numFmtId="9" showAll="0"/>
    <pivotField dataField="1" numFmtId="10" showAll="0"/>
  </pivotFields>
  <rowFields count="1">
    <field x="0"/>
  </rowFields>
  <rowItems count="4">
    <i>
      <x/>
    </i>
    <i>
      <x v="1"/>
    </i>
    <i>
      <x v="2"/>
    </i>
    <i t="grand">
      <x/>
    </i>
  </rowItems>
  <colFields count="1">
    <field x="-2"/>
  </colFields>
  <colItems count="3">
    <i>
      <x/>
    </i>
    <i i="1">
      <x v="1"/>
    </i>
    <i i="2">
      <x v="2"/>
    </i>
  </colItems>
  <dataFields count="3">
    <dataField name="Rubros" fld="0" subtotal="count" baseField="0" baseItem="0"/>
    <dataField name="Total(%)" fld="2" baseField="0" baseItem="0" numFmtId="9"/>
    <dataField name="Obtenido(%)" fld="3" baseField="0" baseItem="0" numFmtId="10"/>
  </dataFields>
  <formats count="28">
    <format dxfId="0">
      <pivotArea field="0" type="button" dataOnly="0" labelOnly="1" outline="0" axis="axisRow" fieldPosition="0"/>
    </format>
    <format dxfId="1">
      <pivotArea dataOnly="0" labelOnly="1" outline="0" fieldPosition="0">
        <references count="1">
          <reference field="4294967294" count="3">
            <x v="0"/>
            <x v="1"/>
            <x v="2"/>
          </reference>
        </references>
      </pivotArea>
    </format>
    <format dxfId="2">
      <pivotArea field="0" grandRow="1" outline="0" collapsedLevelsAreSubtotals="1" axis="axisRow" fieldPosition="0">
        <references count="1">
          <reference field="4294967294" count="1" selected="0">
            <x v="1"/>
          </reference>
        </references>
      </pivotArea>
    </format>
    <format dxfId="3">
      <pivotArea field="0" grandRow="1" outline="0" collapsedLevelsAreSubtotals="1" axis="axisRow" fieldPosition="0">
        <references count="1">
          <reference field="4294967294" count="1" selected="0">
            <x v="2"/>
          </reference>
        </references>
      </pivotArea>
    </format>
    <format dxfId="4">
      <pivotArea dataOnly="0" labelOnly="1" grandRow="1" outline="0" fieldPosition="0"/>
    </format>
    <format dxfId="5">
      <pivotArea type="all" dataOnly="0" outline="0" fieldPosition="0"/>
    </format>
    <format dxfId="6">
      <pivotArea outline="0" collapsedLevelsAreSubtotals="1" fieldPosition="0"/>
    </format>
    <format dxfId="7">
      <pivotArea field="0" type="button" dataOnly="0" labelOnly="1" outline="0" axis="axisRow" fieldPosition="0"/>
    </format>
    <format dxfId="8">
      <pivotArea dataOnly="0" labelOnly="1" fieldPosition="0">
        <references count="1">
          <reference field="0" count="0"/>
        </references>
      </pivotArea>
    </format>
    <format dxfId="9">
      <pivotArea dataOnly="0" labelOnly="1" grandRow="1" outline="0" fieldPosition="0"/>
    </format>
    <format dxfId="10">
      <pivotArea dataOnly="0" labelOnly="1" outline="0" fieldPosition="0">
        <references count="1">
          <reference field="4294967294" count="3">
            <x v="0"/>
            <x v="1"/>
            <x v="2"/>
          </reference>
        </references>
      </pivotArea>
    </format>
    <format dxfId="11">
      <pivotArea field="0" grandRow="1" outline="0" collapsedLevelsAreSubtotals="1" axis="axisRow" fieldPosition="0">
        <references count="1">
          <reference field="4294967294" count="1" selected="0">
            <x v="0"/>
          </reference>
        </references>
      </pivotArea>
    </format>
    <format dxfId="12">
      <pivotArea field="0" type="button" dataOnly="0" labelOnly="1" outline="0" axis="axisRow" fieldPosition="0"/>
    </format>
    <format dxfId="13">
      <pivotArea dataOnly="0" labelOnly="1" outline="0" fieldPosition="0">
        <references count="1">
          <reference field="4294967294" count="3">
            <x v="0"/>
            <x v="1"/>
            <x v="2"/>
          </reference>
        </references>
      </pivotArea>
    </format>
    <format dxfId="14">
      <pivotArea field="0" type="button" dataOnly="0" labelOnly="1" outline="0" axis="axisRow" fieldPosition="0"/>
    </format>
    <format dxfId="15">
      <pivotArea dataOnly="0" labelOnly="1" outline="0" fieldPosition="0">
        <references count="1">
          <reference field="4294967294" count="3">
            <x v="0"/>
            <x v="1"/>
            <x v="2"/>
          </reference>
        </references>
      </pivotArea>
    </format>
    <format dxfId="16">
      <pivotArea dataOnly="0" labelOnly="1" fieldPosition="0">
        <references count="1">
          <reference field="0" count="1">
            <x v="0"/>
          </reference>
        </references>
      </pivotArea>
    </format>
    <format dxfId="17">
      <pivotArea dataOnly="0" labelOnly="1" fieldPosition="0">
        <references count="1">
          <reference field="0" count="1">
            <x v="0"/>
          </reference>
        </references>
      </pivotArea>
    </format>
    <format dxfId="18">
      <pivotArea dataOnly="0" labelOnly="1" fieldPosition="0">
        <references count="1">
          <reference field="0" count="1">
            <x v="0"/>
          </reference>
        </references>
      </pivotArea>
    </format>
    <format dxfId="19">
      <pivotArea grandRow="1" outline="0" collapsedLevelsAreSubtotals="1" fieldPosition="0"/>
    </format>
    <format dxfId="20">
      <pivotArea dataOnly="0" labelOnly="1" grandRow="1" outline="0" fieldPosition="0"/>
    </format>
    <format dxfId="21">
      <pivotArea outline="0" collapsedLevelsAreSubtotals="1" fieldPosition="0">
        <references count="1">
          <reference field="4294967294" count="2" selected="0">
            <x v="1"/>
            <x v="2"/>
          </reference>
        </references>
      </pivotArea>
    </format>
    <format dxfId="22">
      <pivotArea outline="0" collapsedLevelsAreSubtotals="1" fieldPosition="0">
        <references count="1">
          <reference field="4294967294" count="1" selected="0">
            <x v="1"/>
          </reference>
        </references>
      </pivotArea>
    </format>
    <format dxfId="23">
      <pivotArea dataOnly="0" labelOnly="1" fieldPosition="0">
        <references count="1">
          <reference field="0" count="2">
            <x v="1"/>
            <x v="2"/>
          </reference>
        </references>
      </pivotArea>
    </format>
    <format dxfId="24">
      <pivotArea collapsedLevelsAreSubtotals="1" fieldPosition="0">
        <references count="2">
          <reference field="4294967294" count="1" selected="0">
            <x v="1"/>
          </reference>
          <reference field="0" count="1">
            <x v="0"/>
          </reference>
        </references>
      </pivotArea>
    </format>
    <format dxfId="25">
      <pivotArea collapsedLevelsAreSubtotals="1" fieldPosition="0">
        <references count="2">
          <reference field="4294967294" count="1" selected="0">
            <x v="0"/>
          </reference>
          <reference field="0" count="0"/>
        </references>
      </pivotArea>
    </format>
    <format dxfId="26">
      <pivotArea collapsedLevelsAreSubtotals="1" fieldPosition="0">
        <references count="2">
          <reference field="4294967294" count="2" selected="0">
            <x v="1"/>
            <x v="2"/>
          </reference>
          <reference field="0" count="2">
            <x v="1"/>
            <x v="2"/>
          </reference>
        </references>
      </pivotArea>
    </format>
    <format dxfId="27">
      <pivotArea collapsedLevelsAreSubtotals="1" fieldPosition="0">
        <references count="2">
          <reference field="4294967294" count="1" selected="0">
            <x v="2"/>
          </reference>
          <reference field="0" count="1">
            <x v="0"/>
          </reference>
        </references>
      </pivotArea>
    </format>
  </formats>
  <pivotTableStyleInfo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994B-B383-42C5-8004-D3C60CE11128}">
  <sheetPr codeName="Hoja3"/>
  <dimension ref="B2:E7"/>
  <sheetViews>
    <sheetView workbookViewId="0">
      <selection activeCell="B6" sqref="B6"/>
    </sheetView>
  </sheetViews>
  <sheetFormatPr defaultColWidth="11.42578125" defaultRowHeight="15"/>
  <cols>
    <col min="1" max="1" width="11.42578125" style="33"/>
    <col min="2" max="2" width="38" style="33" bestFit="1" customWidth="1"/>
    <col min="3" max="3" width="13.7109375" style="33" bestFit="1" customWidth="1"/>
    <col min="4" max="4" width="15.7109375" style="33" bestFit="1" customWidth="1"/>
    <col min="5" max="5" width="23.28515625" style="33" bestFit="1" customWidth="1"/>
    <col min="6" max="16384" width="11.42578125" style="33"/>
  </cols>
  <sheetData>
    <row r="2" spans="2:5" ht="33.75" customHeight="1">
      <c r="B2" s="42" t="s">
        <v>0</v>
      </c>
      <c r="C2" s="42" t="s">
        <v>1</v>
      </c>
      <c r="D2" s="42" t="s">
        <v>2</v>
      </c>
      <c r="E2" s="42" t="s">
        <v>3</v>
      </c>
    </row>
    <row r="3" spans="2:5" ht="48" customHeight="1">
      <c r="B3" s="43" t="s">
        <v>4</v>
      </c>
      <c r="C3" s="49">
        <v>6</v>
      </c>
      <c r="D3" s="48">
        <v>0.15</v>
      </c>
      <c r="E3" s="53">
        <v>0.1</v>
      </c>
    </row>
    <row r="4" spans="2:5" ht="48" customHeight="1">
      <c r="B4" s="47" t="s">
        <v>5</v>
      </c>
      <c r="C4" s="50">
        <v>12</v>
      </c>
      <c r="D4" s="51">
        <v>0.54</v>
      </c>
      <c r="E4" s="52">
        <v>0</v>
      </c>
    </row>
    <row r="5" spans="2:5" ht="48" customHeight="1">
      <c r="B5" s="47" t="s">
        <v>6</v>
      </c>
      <c r="C5" s="50">
        <v>15</v>
      </c>
      <c r="D5" s="51">
        <v>0.31</v>
      </c>
      <c r="E5" s="52">
        <v>0</v>
      </c>
    </row>
    <row r="6" spans="2:5" ht="48" customHeight="1">
      <c r="B6" s="42" t="s">
        <v>7</v>
      </c>
      <c r="C6" s="44">
        <v>33</v>
      </c>
      <c r="D6" s="45">
        <v>1.0000000000000004</v>
      </c>
      <c r="E6" s="46">
        <v>0.1</v>
      </c>
    </row>
    <row r="7" spans="2:5" ht="15"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31A9-03D6-46C9-9874-64A6BC471F9E}">
  <sheetPr codeName="Hoja1"/>
  <dimension ref="A1:J40"/>
  <sheetViews>
    <sheetView tabSelected="1" zoomScale="116" zoomScaleNormal="85" workbookViewId="0">
      <pane ySplit="3" topLeftCell="A5" activePane="bottomLeft" state="frozen"/>
      <selection pane="bottomLeft" activeCell="E5" sqref="E5"/>
    </sheetView>
  </sheetViews>
  <sheetFormatPr defaultColWidth="11.42578125" defaultRowHeight="18.95"/>
  <cols>
    <col min="1" max="1" width="18.7109375" style="2" customWidth="1"/>
    <col min="2" max="2" width="29.140625" style="30" customWidth="1"/>
    <col min="3" max="3" width="13" style="3" customWidth="1"/>
    <col min="4" max="4" width="15.42578125" style="5" customWidth="1"/>
    <col min="5" max="9" width="30.42578125" style="1" customWidth="1"/>
    <col min="10" max="10" width="56.7109375" style="1" customWidth="1"/>
    <col min="11" max="16384" width="11.42578125" style="2"/>
  </cols>
  <sheetData>
    <row r="1" spans="1:10" ht="11.25" customHeight="1">
      <c r="A1" s="57" t="s">
        <v>8</v>
      </c>
      <c r="B1" s="57" t="s">
        <v>9</v>
      </c>
      <c r="C1" s="58" t="s">
        <v>7</v>
      </c>
      <c r="D1" s="58" t="s">
        <v>10</v>
      </c>
      <c r="E1" s="18"/>
      <c r="F1" s="6"/>
      <c r="G1" s="20"/>
      <c r="H1" s="7"/>
      <c r="I1" s="21"/>
      <c r="J1" s="22"/>
    </row>
    <row r="2" spans="1:10" ht="24.95">
      <c r="A2" s="57"/>
      <c r="B2" s="57"/>
      <c r="C2" s="58"/>
      <c r="D2" s="58"/>
      <c r="E2" s="10" t="s">
        <v>11</v>
      </c>
      <c r="F2" s="8" t="s">
        <v>12</v>
      </c>
      <c r="G2" s="13" t="s">
        <v>13</v>
      </c>
      <c r="H2" s="9" t="s">
        <v>14</v>
      </c>
      <c r="I2" s="16" t="s">
        <v>15</v>
      </c>
      <c r="J2" s="23" t="s">
        <v>16</v>
      </c>
    </row>
    <row r="3" spans="1:10" ht="32.1">
      <c r="A3" s="57"/>
      <c r="B3" s="57"/>
      <c r="C3" s="19">
        <f>SUM(C5:C42)</f>
        <v>1.0000000000000004</v>
      </c>
      <c r="D3" s="19" t="e">
        <f ca="1">SUM(D5:D41)</f>
        <v>#NAME?</v>
      </c>
      <c r="E3" s="11">
        <v>4</v>
      </c>
      <c r="F3" s="12">
        <v>3</v>
      </c>
      <c r="G3" s="14">
        <v>2</v>
      </c>
      <c r="H3" s="15">
        <v>1</v>
      </c>
      <c r="I3" s="17">
        <v>0</v>
      </c>
      <c r="J3" s="24"/>
    </row>
    <row r="4" spans="1:10" ht="59.25" hidden="1" customHeight="1">
      <c r="A4" s="40" t="s">
        <v>8</v>
      </c>
      <c r="B4" s="40" t="s">
        <v>9</v>
      </c>
      <c r="C4" s="40" t="s">
        <v>7</v>
      </c>
      <c r="D4" s="40" t="s">
        <v>10</v>
      </c>
      <c r="E4" s="18"/>
      <c r="F4" s="6"/>
      <c r="G4" s="20"/>
      <c r="H4" s="7"/>
      <c r="I4" s="21"/>
      <c r="J4" s="24"/>
    </row>
    <row r="5" spans="1:10" ht="144">
      <c r="A5" s="29" t="s">
        <v>4</v>
      </c>
      <c r="B5" s="55" t="s">
        <v>17</v>
      </c>
      <c r="C5" s="31">
        <v>0.04</v>
      </c>
      <c r="D5" s="32" t="e" cm="1">
        <f t="array" aca="1" ref="D5" ca="1">INDIRECT(ADDRESS(3,CONTARCOLOR(Configuracion!$B$2,E5:I5)))*C5/$E$3</f>
        <v>#NAME?</v>
      </c>
      <c r="E5" s="25" t="s">
        <v>18</v>
      </c>
      <c r="F5" s="27" t="s">
        <v>19</v>
      </c>
      <c r="G5" s="27" t="s">
        <v>20</v>
      </c>
      <c r="H5" s="27" t="s">
        <v>21</v>
      </c>
      <c r="I5" s="27" t="s">
        <v>22</v>
      </c>
      <c r="J5" s="28"/>
    </row>
    <row r="6" spans="1:10" ht="111.95">
      <c r="A6" s="29" t="s">
        <v>4</v>
      </c>
      <c r="B6" s="56" t="s">
        <v>23</v>
      </c>
      <c r="C6" s="31">
        <v>0.03</v>
      </c>
      <c r="D6" s="32" t="e" cm="1">
        <f t="array" aca="1" ref="D6" ca="1">INDIRECT(ADDRESS(3,CONTARCOLOR(Configuracion!$B$2,E6:I6)))*C6/$E$3</f>
        <v>#NAME?</v>
      </c>
      <c r="E6" s="25" t="s">
        <v>24</v>
      </c>
      <c r="F6" s="27" t="s">
        <v>25</v>
      </c>
      <c r="G6" s="27" t="s">
        <v>26</v>
      </c>
      <c r="H6" s="27" t="s">
        <v>27</v>
      </c>
      <c r="I6" s="41" t="s">
        <v>28</v>
      </c>
      <c r="J6" s="28"/>
    </row>
    <row r="7" spans="1:10" ht="63.95">
      <c r="A7" s="29" t="s">
        <v>4</v>
      </c>
      <c r="B7" s="54" t="s">
        <v>29</v>
      </c>
      <c r="C7" s="31">
        <v>0.03</v>
      </c>
      <c r="D7" s="32" t="e" cm="1">
        <f t="array" aca="1" ref="D7" ca="1">INDIRECT(ADDRESS(3,CONTARCOLOR(Configuracion!$B$2,E7:I7)))*C7/$E$3</f>
        <v>#NAME?</v>
      </c>
      <c r="E7" s="25" t="s">
        <v>30</v>
      </c>
      <c r="F7" s="27" t="s">
        <v>31</v>
      </c>
      <c r="G7" s="27" t="s">
        <v>32</v>
      </c>
      <c r="H7" s="27" t="s">
        <v>33</v>
      </c>
      <c r="I7" s="41" t="s">
        <v>28</v>
      </c>
      <c r="J7" s="28"/>
    </row>
    <row r="8" spans="1:10" ht="48">
      <c r="A8" s="29" t="s">
        <v>4</v>
      </c>
      <c r="B8" s="55" t="s">
        <v>34</v>
      </c>
      <c r="C8" s="31">
        <v>0.01</v>
      </c>
      <c r="D8" s="32" t="e" cm="1">
        <f t="array" aca="1" ref="D8" ca="1">INDIRECT(ADDRESS(3,CONTARCOLOR(Configuracion!$B$2,E8:I8)))*C8/$E$3</f>
        <v>#NAME?</v>
      </c>
      <c r="E8" s="27" t="s">
        <v>35</v>
      </c>
      <c r="F8" s="27" t="s">
        <v>36</v>
      </c>
      <c r="G8" s="27"/>
      <c r="H8" s="27" t="s">
        <v>37</v>
      </c>
      <c r="I8" s="25" t="s">
        <v>38</v>
      </c>
      <c r="J8" s="28"/>
    </row>
    <row r="9" spans="1:10" ht="96">
      <c r="A9" s="29" t="s">
        <v>4</v>
      </c>
      <c r="B9" s="56" t="s">
        <v>39</v>
      </c>
      <c r="C9" s="31">
        <v>0.02</v>
      </c>
      <c r="D9" s="32" t="e" cm="1">
        <f t="array" aca="1" ref="D9" ca="1">INDIRECT(ADDRESS(3,CONTARCOLOR(Configuracion!$B$2,E9:I9)))*C9/$E$3</f>
        <v>#NAME?</v>
      </c>
      <c r="E9" s="27" t="s">
        <v>40</v>
      </c>
      <c r="F9" s="27" t="s">
        <v>41</v>
      </c>
      <c r="G9" s="27" t="s">
        <v>42</v>
      </c>
      <c r="H9" s="27" t="s">
        <v>43</v>
      </c>
      <c r="I9" s="25" t="s">
        <v>44</v>
      </c>
      <c r="J9" s="28"/>
    </row>
    <row r="10" spans="1:10" ht="32.1">
      <c r="A10" s="29" t="s">
        <v>4</v>
      </c>
      <c r="B10" s="55" t="s">
        <v>45</v>
      </c>
      <c r="C10" s="31">
        <v>0.02</v>
      </c>
      <c r="D10" s="32" t="e" cm="1">
        <f t="array" aca="1" ref="D10" ca="1">INDIRECT(ADDRESS(3,CONTARCOLOR(Configuracion!$B$2,E10:I10)))*C10/$E$3</f>
        <v>#NAME?</v>
      </c>
      <c r="E10" s="27" t="s">
        <v>46</v>
      </c>
      <c r="F10" s="27" t="s">
        <v>47</v>
      </c>
      <c r="G10" s="27"/>
      <c r="H10" s="27" t="s">
        <v>48</v>
      </c>
      <c r="I10" s="25" t="s">
        <v>49</v>
      </c>
      <c r="J10" s="28"/>
    </row>
    <row r="11" spans="1:10" ht="80.099999999999994">
      <c r="A11" s="29" t="s">
        <v>5</v>
      </c>
      <c r="B11" s="56" t="s">
        <v>50</v>
      </c>
      <c r="C11" s="31">
        <v>0.03</v>
      </c>
      <c r="D11" s="32" t="e" cm="1">
        <f t="array" aca="1" ref="D11" ca="1">INDIRECT(ADDRESS(3,CONTARCOLOR(Configuracion!$B$2,E11:I11)))*C11/$E$3</f>
        <v>#NAME?</v>
      </c>
      <c r="E11" s="27" t="s">
        <v>51</v>
      </c>
      <c r="F11" s="27" t="s">
        <v>52</v>
      </c>
      <c r="G11" s="27" t="s">
        <v>53</v>
      </c>
      <c r="H11" s="27" t="s">
        <v>54</v>
      </c>
      <c r="I11" s="25" t="s">
        <v>55</v>
      </c>
      <c r="J11" s="28"/>
    </row>
    <row r="12" spans="1:10" ht="176.1">
      <c r="A12" s="29" t="s">
        <v>5</v>
      </c>
      <c r="B12" s="56" t="s">
        <v>56</v>
      </c>
      <c r="C12" s="31">
        <v>0.03</v>
      </c>
      <c r="D12" s="32" t="e" cm="1">
        <f t="array" aca="1" ref="D12" ca="1">INDIRECT(ADDRESS(3,CONTARCOLOR(Configuracion!$B$2,E12:I12)))*C12/$E$3</f>
        <v>#NAME?</v>
      </c>
      <c r="E12" s="27" t="s">
        <v>57</v>
      </c>
      <c r="F12" s="27" t="s">
        <v>58</v>
      </c>
      <c r="G12" s="27" t="s">
        <v>59</v>
      </c>
      <c r="H12" s="27" t="s">
        <v>60</v>
      </c>
      <c r="I12" s="25" t="s">
        <v>61</v>
      </c>
      <c r="J12" s="28"/>
    </row>
    <row r="13" spans="1:10" ht="159.94999999999999">
      <c r="A13" s="29" t="s">
        <v>5</v>
      </c>
      <c r="B13" s="56" t="s">
        <v>62</v>
      </c>
      <c r="C13" s="31">
        <v>0.2</v>
      </c>
      <c r="D13" s="32" t="e" cm="1">
        <f t="array" aca="1" ref="D13" ca="1">INDIRECT(ADDRESS(3,CONTARCOLOR(Configuracion!$B$2,E13:I13)))*C13/$E$3</f>
        <v>#NAME?</v>
      </c>
      <c r="E13" s="27" t="s">
        <v>63</v>
      </c>
      <c r="F13" s="27" t="s">
        <v>64</v>
      </c>
      <c r="G13" s="27"/>
      <c r="H13" s="27"/>
      <c r="I13" s="25" t="s">
        <v>65</v>
      </c>
      <c r="J13" s="28"/>
    </row>
    <row r="14" spans="1:10" ht="111.95">
      <c r="A14" s="29" t="s">
        <v>5</v>
      </c>
      <c r="B14" s="56" t="s">
        <v>66</v>
      </c>
      <c r="C14" s="31">
        <v>0.02</v>
      </c>
      <c r="D14" s="32" t="e" cm="1">
        <f t="array" aca="1" ref="D14" ca="1">INDIRECT(ADDRESS(3,CONTARCOLOR(Configuracion!$B$2,E14:I14)))*C14/$E$3</f>
        <v>#NAME?</v>
      </c>
      <c r="E14" s="27" t="s">
        <v>67</v>
      </c>
      <c r="F14" s="27" t="s">
        <v>68</v>
      </c>
      <c r="G14" s="27" t="s">
        <v>69</v>
      </c>
      <c r="H14" s="27" t="s">
        <v>70</v>
      </c>
      <c r="I14" s="25" t="s">
        <v>71</v>
      </c>
      <c r="J14" s="28"/>
    </row>
    <row r="15" spans="1:10" ht="32.1">
      <c r="A15" s="29" t="s">
        <v>5</v>
      </c>
      <c r="B15" s="55" t="s">
        <v>72</v>
      </c>
      <c r="C15" s="31">
        <v>0.03</v>
      </c>
      <c r="D15" s="32" t="e" cm="1">
        <f t="array" aca="1" ref="D15" ca="1">INDIRECT(ADDRESS(3,CONTARCOLOR(Configuracion!$B$2,E15:I15)))*C15/$E$3</f>
        <v>#NAME?</v>
      </c>
      <c r="E15" s="27" t="s">
        <v>73</v>
      </c>
      <c r="F15" s="27" t="s">
        <v>74</v>
      </c>
      <c r="G15" s="27"/>
      <c r="H15" s="27"/>
      <c r="I15" s="25" t="s">
        <v>75</v>
      </c>
      <c r="J15" s="28"/>
    </row>
    <row r="16" spans="1:10" ht="80.099999999999994">
      <c r="A16" s="29" t="s">
        <v>5</v>
      </c>
      <c r="B16" s="56" t="s">
        <v>76</v>
      </c>
      <c r="C16" s="31">
        <v>0.05</v>
      </c>
      <c r="D16" s="32" t="e" cm="1">
        <f t="array" aca="1" ref="D16" ca="1">INDIRECT(ADDRESS(3,CONTARCOLOR(Configuracion!$B$2,E16:I16)))*C16/$E$3</f>
        <v>#NAME?</v>
      </c>
      <c r="E16" s="27" t="s">
        <v>77</v>
      </c>
      <c r="F16" s="27" t="s">
        <v>78</v>
      </c>
      <c r="G16" s="27"/>
      <c r="H16" s="27" t="s">
        <v>79</v>
      </c>
      <c r="I16" s="25" t="s">
        <v>80</v>
      </c>
      <c r="J16" s="28"/>
    </row>
    <row r="17" spans="1:10" ht="111.95">
      <c r="A17" s="29" t="s">
        <v>5</v>
      </c>
      <c r="B17" s="54" t="s">
        <v>81</v>
      </c>
      <c r="C17" s="31">
        <v>0.04</v>
      </c>
      <c r="D17" s="32" t="e" cm="1">
        <f t="array" aca="1" ref="D17" ca="1">INDIRECT(ADDRESS(3,CONTARCOLOR(Configuracion!$B$2,E17:I17)))*C17/$E$3</f>
        <v>#NAME?</v>
      </c>
      <c r="E17" s="27" t="s">
        <v>82</v>
      </c>
      <c r="F17" s="27" t="s">
        <v>83</v>
      </c>
      <c r="G17" s="27" t="s">
        <v>84</v>
      </c>
      <c r="H17" s="27" t="s">
        <v>85</v>
      </c>
      <c r="I17" s="25" t="s">
        <v>86</v>
      </c>
      <c r="J17" s="28"/>
    </row>
    <row r="18" spans="1:10" ht="96">
      <c r="A18" s="29" t="s">
        <v>5</v>
      </c>
      <c r="B18" s="55" t="s">
        <v>87</v>
      </c>
      <c r="C18" s="31">
        <v>0.03</v>
      </c>
      <c r="D18" s="32" t="e" cm="1">
        <f t="array" aca="1" ref="D18" ca="1">INDIRECT(ADDRESS(3,CONTARCOLOR(Configuracion!$B$2,E18:I18)))*C18/$E$3</f>
        <v>#NAME?</v>
      </c>
      <c r="E18" s="27" t="s">
        <v>88</v>
      </c>
      <c r="F18" s="27" t="s">
        <v>89</v>
      </c>
      <c r="G18" s="27" t="s">
        <v>90</v>
      </c>
      <c r="H18" s="27"/>
      <c r="I18" s="25" t="s">
        <v>91</v>
      </c>
      <c r="J18" s="28"/>
    </row>
    <row r="19" spans="1:10" ht="63.95">
      <c r="A19" s="29" t="s">
        <v>5</v>
      </c>
      <c r="B19" s="55" t="s">
        <v>92</v>
      </c>
      <c r="C19" s="31">
        <v>0.04</v>
      </c>
      <c r="D19" s="32" t="e" cm="1">
        <f t="array" aca="1" ref="D19" ca="1">INDIRECT(ADDRESS(3,CONTARCOLOR(Configuracion!$B$2,E19:I19)))*C19/$E$3</f>
        <v>#NAME?</v>
      </c>
      <c r="E19" s="27" t="s">
        <v>93</v>
      </c>
      <c r="F19" s="27" t="s">
        <v>94</v>
      </c>
      <c r="G19" s="27" t="s">
        <v>95</v>
      </c>
      <c r="H19" s="27" t="s">
        <v>96</v>
      </c>
      <c r="I19" s="25" t="s">
        <v>97</v>
      </c>
      <c r="J19" s="28"/>
    </row>
    <row r="20" spans="1:10" ht="80.099999999999994">
      <c r="A20" s="29" t="s">
        <v>5</v>
      </c>
      <c r="B20" s="55" t="s">
        <v>98</v>
      </c>
      <c r="C20" s="31">
        <v>0.03</v>
      </c>
      <c r="D20" s="32" t="e" cm="1">
        <f t="array" aca="1" ref="D20" ca="1">INDIRECT(ADDRESS(3,CONTARCOLOR(Configuracion!$B$2,E20:I20)))*C20/$E$3</f>
        <v>#NAME?</v>
      </c>
      <c r="E20" s="27" t="s">
        <v>99</v>
      </c>
      <c r="F20" s="27" t="s">
        <v>100</v>
      </c>
      <c r="G20" s="27" t="s">
        <v>101</v>
      </c>
      <c r="H20" s="27" t="s">
        <v>102</v>
      </c>
      <c r="I20" s="25" t="s">
        <v>103</v>
      </c>
      <c r="J20" s="28"/>
    </row>
    <row r="21" spans="1:10" ht="63.95">
      <c r="A21" s="29" t="s">
        <v>5</v>
      </c>
      <c r="B21" s="55" t="s">
        <v>104</v>
      </c>
      <c r="C21" s="31">
        <v>0.02</v>
      </c>
      <c r="D21" s="32" t="e" cm="1">
        <f t="array" aca="1" ref="D21" ca="1">INDIRECT(ADDRESS(3,CONTARCOLOR(Configuracion!$B$2,E21:I21)))*C21/$E$3</f>
        <v>#NAME?</v>
      </c>
      <c r="E21" s="27" t="s">
        <v>105</v>
      </c>
      <c r="F21" s="27" t="s">
        <v>106</v>
      </c>
      <c r="G21" s="27" t="s">
        <v>107</v>
      </c>
      <c r="H21" s="27" t="s">
        <v>108</v>
      </c>
      <c r="I21" s="25" t="s">
        <v>109</v>
      </c>
      <c r="J21" s="28"/>
    </row>
    <row r="22" spans="1:10" ht="96">
      <c r="A22" s="29" t="s">
        <v>5</v>
      </c>
      <c r="B22" s="56" t="s">
        <v>110</v>
      </c>
      <c r="C22" s="31">
        <v>0.02</v>
      </c>
      <c r="D22" s="32" t="e" cm="1">
        <f t="array" aca="1" ref="D22" ca="1">INDIRECT(ADDRESS(3,CONTARCOLOR(Configuracion!$B$2,E22:I22)))*C22/$E$3</f>
        <v>#NAME?</v>
      </c>
      <c r="E22" s="27" t="s">
        <v>111</v>
      </c>
      <c r="F22" s="27" t="s">
        <v>112</v>
      </c>
      <c r="G22" s="27" t="s">
        <v>113</v>
      </c>
      <c r="H22" s="27" t="s">
        <v>114</v>
      </c>
      <c r="I22" s="25" t="s">
        <v>115</v>
      </c>
      <c r="J22" s="28"/>
    </row>
    <row r="23" spans="1:10" ht="159.94999999999999">
      <c r="A23" s="29" t="s">
        <v>6</v>
      </c>
      <c r="B23" s="54" t="s">
        <v>116</v>
      </c>
      <c r="C23" s="31">
        <v>0.02</v>
      </c>
      <c r="D23" s="32" t="e" cm="1">
        <f t="array" aca="1" ref="D23" ca="1">INDIRECT(ADDRESS(3,CONTARCOLOR(Configuracion!$B$2,E23:I23)))*C23/$E$3</f>
        <v>#NAME?</v>
      </c>
      <c r="E23" s="27" t="s">
        <v>117</v>
      </c>
      <c r="F23" s="27" t="s">
        <v>118</v>
      </c>
      <c r="G23" s="27" t="s">
        <v>119</v>
      </c>
      <c r="H23" s="27" t="s">
        <v>120</v>
      </c>
      <c r="I23" s="25" t="s">
        <v>120</v>
      </c>
      <c r="J23" s="28"/>
    </row>
    <row r="24" spans="1:10" ht="80.099999999999994">
      <c r="A24" s="29" t="s">
        <v>6</v>
      </c>
      <c r="B24" s="54" t="s">
        <v>121</v>
      </c>
      <c r="C24" s="31">
        <v>0.02</v>
      </c>
      <c r="D24" s="32" t="e" cm="1">
        <f t="array" aca="1" ref="D24" ca="1">INDIRECT(ADDRESS(3,CONTARCOLOR(Configuracion!$B$2,E24:I24)))*C24/$E$3</f>
        <v>#NAME?</v>
      </c>
      <c r="E24" s="27" t="s">
        <v>117</v>
      </c>
      <c r="F24" s="27" t="s">
        <v>118</v>
      </c>
      <c r="G24" s="27" t="s">
        <v>119</v>
      </c>
      <c r="H24" s="27" t="s">
        <v>120</v>
      </c>
      <c r="I24" s="25" t="s">
        <v>120</v>
      </c>
      <c r="J24" s="28"/>
    </row>
    <row r="25" spans="1:10" ht="159.94999999999999">
      <c r="A25" s="29" t="s">
        <v>6</v>
      </c>
      <c r="B25" s="54" t="s">
        <v>122</v>
      </c>
      <c r="C25" s="31">
        <v>0.02</v>
      </c>
      <c r="D25" s="32" t="e" cm="1">
        <f t="array" aca="1" ref="D25" ca="1">INDIRECT(ADDRESS(3,CONTARCOLOR(Configuracion!$B$2,E25:I25)))*C25/$E$3</f>
        <v>#NAME?</v>
      </c>
      <c r="E25" s="27" t="s">
        <v>117</v>
      </c>
      <c r="F25" s="27" t="s">
        <v>118</v>
      </c>
      <c r="G25" s="27" t="s">
        <v>119</v>
      </c>
      <c r="H25" s="27" t="s">
        <v>120</v>
      </c>
      <c r="I25" s="25" t="s">
        <v>120</v>
      </c>
      <c r="J25" s="28"/>
    </row>
    <row r="26" spans="1:10" ht="80.099999999999994">
      <c r="A26" s="29" t="s">
        <v>6</v>
      </c>
      <c r="B26" s="54" t="s">
        <v>123</v>
      </c>
      <c r="C26" s="31">
        <v>0.02</v>
      </c>
      <c r="D26" s="32" t="e" cm="1">
        <f t="array" aca="1" ref="D26" ca="1">INDIRECT(ADDRESS(3,CONTARCOLOR(Configuracion!$B$2,E26:I26)))*C26/$E$3</f>
        <v>#NAME?</v>
      </c>
      <c r="E26" s="27" t="s">
        <v>117</v>
      </c>
      <c r="F26" s="27" t="s">
        <v>118</v>
      </c>
      <c r="G26" s="27" t="s">
        <v>119</v>
      </c>
      <c r="H26" s="27" t="s">
        <v>120</v>
      </c>
      <c r="I26" s="25" t="s">
        <v>120</v>
      </c>
      <c r="J26" s="28"/>
    </row>
    <row r="27" spans="1:10" ht="159.94999999999999">
      <c r="A27" s="29" t="s">
        <v>6</v>
      </c>
      <c r="B27" s="54" t="s">
        <v>124</v>
      </c>
      <c r="C27" s="31">
        <v>0.02</v>
      </c>
      <c r="D27" s="32" t="e" cm="1">
        <f t="array" aca="1" ref="D27" ca="1">INDIRECT(ADDRESS(3,CONTARCOLOR(Configuracion!$B$2,E27:I27)))*C27/$E$3</f>
        <v>#NAME?</v>
      </c>
      <c r="E27" s="27" t="s">
        <v>117</v>
      </c>
      <c r="F27" s="27" t="s">
        <v>118</v>
      </c>
      <c r="G27" s="27" t="s">
        <v>119</v>
      </c>
      <c r="H27" s="27" t="s">
        <v>120</v>
      </c>
      <c r="I27" s="25" t="s">
        <v>120</v>
      </c>
      <c r="J27" s="28"/>
    </row>
    <row r="28" spans="1:10" ht="80.099999999999994">
      <c r="A28" s="29" t="s">
        <v>6</v>
      </c>
      <c r="B28" s="54" t="s">
        <v>125</v>
      </c>
      <c r="C28" s="31">
        <v>0.02</v>
      </c>
      <c r="D28" s="32" t="e" cm="1">
        <f t="array" aca="1" ref="D28" ca="1">INDIRECT(ADDRESS(3,CONTARCOLOR(Configuracion!$B$2,E28:I28)))*C28/$E$3</f>
        <v>#NAME?</v>
      </c>
      <c r="E28" s="27" t="s">
        <v>117</v>
      </c>
      <c r="F28" s="27" t="s">
        <v>118</v>
      </c>
      <c r="G28" s="27" t="s">
        <v>119</v>
      </c>
      <c r="H28" s="27" t="s">
        <v>120</v>
      </c>
      <c r="I28" s="25" t="s">
        <v>120</v>
      </c>
      <c r="J28" s="28"/>
    </row>
    <row r="29" spans="1:10" ht="80.099999999999994">
      <c r="A29" s="29" t="s">
        <v>6</v>
      </c>
      <c r="B29" s="54" t="s">
        <v>126</v>
      </c>
      <c r="C29" s="31">
        <v>0.02</v>
      </c>
      <c r="D29" s="32" t="e" cm="1">
        <f t="array" aca="1" ref="D29" ca="1">INDIRECT(ADDRESS(3,CONTARCOLOR(Configuracion!$B$2,E29:I29)))*C29/$E$3</f>
        <v>#NAME?</v>
      </c>
      <c r="E29" s="27" t="s">
        <v>117</v>
      </c>
      <c r="F29" s="27" t="s">
        <v>118</v>
      </c>
      <c r="G29" s="27" t="s">
        <v>119</v>
      </c>
      <c r="H29" s="27" t="s">
        <v>120</v>
      </c>
      <c r="I29" s="25" t="s">
        <v>120</v>
      </c>
      <c r="J29" s="28"/>
    </row>
    <row r="30" spans="1:10" ht="80.099999999999994">
      <c r="A30" s="29" t="s">
        <v>6</v>
      </c>
      <c r="B30" s="54" t="s">
        <v>127</v>
      </c>
      <c r="C30" s="31">
        <v>0.02</v>
      </c>
      <c r="D30" s="32" t="e" cm="1">
        <f t="array" aca="1" ref="D30" ca="1">INDIRECT(ADDRESS(3,CONTARCOLOR(Configuracion!$B$2,E30:I30)))*C30/$E$3</f>
        <v>#NAME?</v>
      </c>
      <c r="E30" s="27" t="s">
        <v>117</v>
      </c>
      <c r="F30" s="27" t="s">
        <v>118</v>
      </c>
      <c r="G30" s="27" t="s">
        <v>119</v>
      </c>
      <c r="H30" s="27" t="s">
        <v>120</v>
      </c>
      <c r="I30" s="25" t="s">
        <v>120</v>
      </c>
      <c r="J30" s="28"/>
    </row>
    <row r="31" spans="1:10" ht="140.1">
      <c r="A31" s="29" t="s">
        <v>6</v>
      </c>
      <c r="B31" s="54" t="s">
        <v>128</v>
      </c>
      <c r="C31" s="31">
        <v>0.02</v>
      </c>
      <c r="D31" s="32" t="e" cm="1">
        <f t="array" aca="1" ref="D31" ca="1">INDIRECT(ADDRESS(3,CONTARCOLOR(Configuracion!$B$2,E31:I31)))*C31/$E$3</f>
        <v>#NAME?</v>
      </c>
      <c r="E31" s="27" t="s">
        <v>117</v>
      </c>
      <c r="F31" s="27" t="s">
        <v>118</v>
      </c>
      <c r="G31" s="27" t="s">
        <v>119</v>
      </c>
      <c r="H31" s="27" t="s">
        <v>120</v>
      </c>
      <c r="I31" s="25" t="s">
        <v>120</v>
      </c>
      <c r="J31" s="28"/>
    </row>
    <row r="32" spans="1:10" ht="80.099999999999994">
      <c r="A32" s="29" t="s">
        <v>6</v>
      </c>
      <c r="B32" s="54" t="s">
        <v>129</v>
      </c>
      <c r="C32" s="31">
        <v>0.02</v>
      </c>
      <c r="D32" s="32" t="e" cm="1">
        <f t="array" aca="1" ref="D32" ca="1">INDIRECT(ADDRESS(3,CONTARCOLOR(Configuracion!$B$2,E32:I32)))*C32/$E$3</f>
        <v>#NAME?</v>
      </c>
      <c r="E32" s="27" t="s">
        <v>117</v>
      </c>
      <c r="F32" s="27" t="s">
        <v>118</v>
      </c>
      <c r="G32" s="27" t="s">
        <v>119</v>
      </c>
      <c r="H32" s="27" t="s">
        <v>120</v>
      </c>
      <c r="I32" s="25" t="s">
        <v>120</v>
      </c>
      <c r="J32" s="28"/>
    </row>
    <row r="33" spans="1:10" ht="120">
      <c r="A33" s="29" t="s">
        <v>6</v>
      </c>
      <c r="B33" s="54" t="s">
        <v>130</v>
      </c>
      <c r="C33" s="31">
        <v>0.02</v>
      </c>
      <c r="D33" s="32" t="e" cm="1">
        <f t="array" aca="1" ref="D33" ca="1">INDIRECT(ADDRESS(3,CONTARCOLOR(Configuracion!$B$2,E33:I33)))*C33/$E$3</f>
        <v>#NAME?</v>
      </c>
      <c r="E33" s="27" t="s">
        <v>117</v>
      </c>
      <c r="F33" s="27" t="s">
        <v>118</v>
      </c>
      <c r="G33" s="27" t="s">
        <v>119</v>
      </c>
      <c r="H33" s="27" t="s">
        <v>120</v>
      </c>
      <c r="I33" s="25" t="s">
        <v>120</v>
      </c>
      <c r="J33" s="28"/>
    </row>
    <row r="34" spans="1:10" ht="120">
      <c r="A34" s="29" t="s">
        <v>6</v>
      </c>
      <c r="B34" s="54" t="s">
        <v>131</v>
      </c>
      <c r="C34" s="31">
        <v>0.03</v>
      </c>
      <c r="D34" s="32" t="e" cm="1">
        <f t="array" aca="1" ref="D34" ca="1">INDIRECT(ADDRESS(3,CONTARCOLOR(Configuracion!$B$2,E34:I34)))*C34/$E$3</f>
        <v>#NAME?</v>
      </c>
      <c r="E34" s="27" t="s">
        <v>117</v>
      </c>
      <c r="F34" s="27" t="s">
        <v>118</v>
      </c>
      <c r="G34" s="27" t="s">
        <v>119</v>
      </c>
      <c r="H34" s="27" t="s">
        <v>120</v>
      </c>
      <c r="I34" s="25" t="s">
        <v>120</v>
      </c>
      <c r="J34" s="28"/>
    </row>
    <row r="35" spans="1:10" ht="80.099999999999994">
      <c r="A35" s="29" t="s">
        <v>6</v>
      </c>
      <c r="B35" s="54" t="s">
        <v>132</v>
      </c>
      <c r="C35" s="31">
        <v>0.02</v>
      </c>
      <c r="D35" s="32" t="e" cm="1">
        <f t="array" aca="1" ref="D35" ca="1">INDIRECT(ADDRESS(3,CONTARCOLOR(Configuracion!$B$2,E35:I35)))*C35/$E$3</f>
        <v>#NAME?</v>
      </c>
      <c r="E35" s="27" t="s">
        <v>117</v>
      </c>
      <c r="F35" s="27" t="s">
        <v>118</v>
      </c>
      <c r="G35" s="27" t="s">
        <v>119</v>
      </c>
      <c r="H35" s="27" t="s">
        <v>120</v>
      </c>
      <c r="I35" s="25" t="s">
        <v>120</v>
      </c>
      <c r="J35" s="28"/>
    </row>
    <row r="36" spans="1:10" ht="80.099999999999994">
      <c r="A36" s="29" t="s">
        <v>6</v>
      </c>
      <c r="B36" s="54" t="s">
        <v>133</v>
      </c>
      <c r="C36" s="31">
        <v>0.02</v>
      </c>
      <c r="D36" s="32" t="e" cm="1">
        <f t="array" aca="1" ref="D36" ca="1">INDIRECT(ADDRESS(3,CONTARCOLOR(Configuracion!$B$2,E36:I36)))*C36/$E$3</f>
        <v>#NAME?</v>
      </c>
      <c r="E36" s="27" t="s">
        <v>117</v>
      </c>
      <c r="F36" s="27" t="s">
        <v>118</v>
      </c>
      <c r="G36" s="27" t="s">
        <v>119</v>
      </c>
      <c r="H36" s="27" t="s">
        <v>120</v>
      </c>
      <c r="I36" s="25" t="s">
        <v>120</v>
      </c>
      <c r="J36" s="28"/>
    </row>
    <row r="37" spans="1:10" ht="80.099999999999994">
      <c r="A37" s="29" t="s">
        <v>6</v>
      </c>
      <c r="B37" s="54" t="s">
        <v>134</v>
      </c>
      <c r="C37" s="31">
        <v>0.02</v>
      </c>
      <c r="D37" s="32" t="e" cm="1">
        <f t="array" aca="1" ref="D37" ca="1">INDIRECT(ADDRESS(3,CONTARCOLOR(Configuracion!$B$2,E37:I37)))*C37/$E$3</f>
        <v>#NAME?</v>
      </c>
      <c r="E37" s="27" t="s">
        <v>117</v>
      </c>
      <c r="F37" s="27" t="s">
        <v>118</v>
      </c>
      <c r="G37" s="27" t="s">
        <v>119</v>
      </c>
      <c r="H37" s="27" t="s">
        <v>120</v>
      </c>
      <c r="I37" s="25" t="s">
        <v>120</v>
      </c>
      <c r="J37" s="28"/>
    </row>
    <row r="38" spans="1:10" ht="15">
      <c r="B38" s="1"/>
      <c r="C38" s="1"/>
      <c r="D38" s="1"/>
    </row>
    <row r="39" spans="1:10" ht="15">
      <c r="B39" s="1"/>
      <c r="C39" s="1"/>
      <c r="D39" s="1"/>
    </row>
    <row r="40" spans="1:10" ht="15">
      <c r="B40" s="1"/>
      <c r="C40" s="1"/>
      <c r="D40" s="1"/>
    </row>
  </sheetData>
  <mergeCells count="4">
    <mergeCell ref="B1:B3"/>
    <mergeCell ref="C1:C2"/>
    <mergeCell ref="D1:D2"/>
    <mergeCell ref="A1:A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5114B-4677-4AFC-8823-A17864D14410}">
  <sheetPr codeName="Hoja2"/>
  <dimension ref="B2:H29"/>
  <sheetViews>
    <sheetView workbookViewId="0">
      <selection activeCell="E11" sqref="E11"/>
    </sheetView>
  </sheetViews>
  <sheetFormatPr defaultColWidth="11.42578125" defaultRowHeight="15"/>
  <cols>
    <col min="1" max="1" width="7" style="33" customWidth="1"/>
    <col min="2" max="2" width="23.28515625" style="33" customWidth="1"/>
    <col min="3" max="3" width="3.85546875" style="33" customWidth="1"/>
    <col min="4" max="4" width="23.140625" style="33" customWidth="1"/>
    <col min="5" max="5" width="4.42578125" style="34" customWidth="1"/>
    <col min="6" max="6" width="5.28515625" style="33" customWidth="1"/>
    <col min="7" max="7" width="23.140625" style="33" customWidth="1"/>
    <col min="8" max="8" width="4.42578125" style="33" customWidth="1"/>
    <col min="9" max="16384" width="11.42578125" style="33"/>
  </cols>
  <sheetData>
    <row r="2" spans="2:8">
      <c r="B2" s="4" t="s">
        <v>135</v>
      </c>
      <c r="D2" s="38" t="s">
        <v>136</v>
      </c>
    </row>
    <row r="3" spans="2:8">
      <c r="B3" s="26" t="s">
        <v>137</v>
      </c>
    </row>
    <row r="4" spans="2:8">
      <c r="B4" s="39" t="s">
        <v>138</v>
      </c>
      <c r="D4" s="37" t="s">
        <v>139</v>
      </c>
      <c r="E4" s="37" t="s">
        <v>140</v>
      </c>
      <c r="G4" s="37" t="s">
        <v>141</v>
      </c>
      <c r="H4" s="37" t="s">
        <v>140</v>
      </c>
    </row>
    <row r="5" spans="2:8">
      <c r="D5" s="37" t="s">
        <v>142</v>
      </c>
      <c r="E5" s="35">
        <v>5</v>
      </c>
      <c r="G5" s="34" t="s">
        <v>143</v>
      </c>
      <c r="H5" s="35"/>
    </row>
    <row r="6" spans="2:8">
      <c r="D6" s="37" t="s">
        <v>144</v>
      </c>
      <c r="E6" s="35">
        <v>9</v>
      </c>
      <c r="H6" s="36"/>
    </row>
    <row r="7" spans="2:8">
      <c r="D7" s="38"/>
      <c r="H7" s="36"/>
    </row>
    <row r="8" spans="2:8">
      <c r="D8" s="37" t="s">
        <v>145</v>
      </c>
      <c r="E8" s="37" t="s">
        <v>140</v>
      </c>
      <c r="H8" s="36"/>
    </row>
    <row r="9" spans="2:8">
      <c r="D9" s="37" t="s">
        <v>142</v>
      </c>
      <c r="E9" s="35">
        <v>5</v>
      </c>
      <c r="H9" s="36"/>
    </row>
    <row r="10" spans="2:8">
      <c r="D10" s="37" t="s">
        <v>144</v>
      </c>
      <c r="E10" s="35">
        <v>37</v>
      </c>
      <c r="H10" s="36"/>
    </row>
    <row r="11" spans="2:8">
      <c r="H11" s="36"/>
    </row>
    <row r="12" spans="2:8">
      <c r="H12" s="36"/>
    </row>
    <row r="13" spans="2:8">
      <c r="H13" s="36"/>
    </row>
    <row r="14" spans="2:8">
      <c r="H14" s="36"/>
    </row>
    <row r="15" spans="2:8">
      <c r="H15" s="36"/>
    </row>
    <row r="16" spans="2:8">
      <c r="H16" s="36"/>
    </row>
    <row r="17" spans="8:8">
      <c r="H17" s="36"/>
    </row>
    <row r="18" spans="8:8">
      <c r="H18" s="36"/>
    </row>
    <row r="19" spans="8:8">
      <c r="H19" s="36"/>
    </row>
    <row r="20" spans="8:8">
      <c r="H20" s="36"/>
    </row>
    <row r="21" spans="8:8">
      <c r="H21" s="36"/>
    </row>
    <row r="22" spans="8:8">
      <c r="H22" s="36"/>
    </row>
    <row r="23" spans="8:8">
      <c r="H23" s="36"/>
    </row>
    <row r="24" spans="8:8">
      <c r="H24" s="36"/>
    </row>
    <row r="25" spans="8:8">
      <c r="H25" s="36"/>
    </row>
    <row r="26" spans="8:8">
      <c r="H26" s="36"/>
    </row>
    <row r="27" spans="8:8">
      <c r="H27" s="36"/>
    </row>
    <row r="28" spans="8:8">
      <c r="H28" s="36"/>
    </row>
    <row r="29" spans="8:8">
      <c r="H29"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JOSUE DANIEL SOTO GONZALEZ</dc:creator>
  <cp:keywords/>
  <dc:description/>
  <cp:lastModifiedBy>ALEXIS PIÑA NAVA</cp:lastModifiedBy>
  <cp:revision/>
  <dcterms:created xsi:type="dcterms:W3CDTF">2025-06-14T21:29:03Z</dcterms:created>
  <dcterms:modified xsi:type="dcterms:W3CDTF">2025-10-24T00:48:05Z</dcterms:modified>
  <cp:category/>
  <cp:contentStatus/>
</cp:coreProperties>
</file>